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Assumptions" sheetId="2" state="visible" r:id="rId4"/>
    <sheet name="FY25 Actuals EUR" sheetId="3" state="visible" r:id="rId5"/>
    <sheet name="Income Statement &amp; FCF" sheetId="4" state="visible" r:id="rId6"/>
    <sheet name="DCF Valuation" sheetId="5" state="visible" r:id="rId7"/>
    <sheet name="Sensitivity Analysis" sheetId="6" state="visible" r:id="rId8"/>
    <sheet name="Review Notes"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Roman Falla</author>
  </authors>
  <commentList>
    <comment ref="B14" authorId="0">
      <text>
        <r>
          <rPr>
            <sz val="10"/>
            <rFont val="Arial"/>
            <family val="2"/>
          </rPr>
          <t xml:space="preserve">User-selected modelling input; refresh with the relevant UK 10Y gilt yield.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18</xdr:rowOff>
              </xdr:to>
            </anchor>
          </commentPr>
        </mc:Choice>
        <mc:Fallback/>
      </mc:AlternateContent>
    </comment>
    <comment ref="B15" authorId="0">
      <text>
        <r>
          <rPr>
            <sz val="10"/>
            <rFont val="Arial"/>
            <family val="2"/>
          </rPr>
          <t xml:space="preserve">User-selected modelling input.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18</xdr:rowOff>
              </xdr:to>
            </anchor>
          </commentPr>
        </mc:Choice>
        <mc:Fallback/>
      </mc:AlternateContent>
    </comment>
    <comment ref="B16" authorId="0">
      <text>
        <r>
          <rPr>
            <sz val="10"/>
            <rFont val="Arial"/>
            <family val="2"/>
          </rPr>
          <t xml:space="preserve">User-selected modelling input.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18</xdr:rowOff>
              </xdr:to>
            </anchor>
          </commentPr>
        </mc:Choice>
        <mc:Fallback/>
      </mc:AlternateContent>
    </comment>
    <comment ref="B18" authorId="0">
      <text>
        <r>
          <rPr>
            <sz val="10"/>
            <rFont val="Arial"/>
            <family val="2"/>
          </rPr>
          <t xml:space="preserve">User-selected modelling input.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18</xdr:rowOff>
              </xdr:to>
            </anchor>
          </commentPr>
        </mc:Choice>
        <mc:Fallback/>
      </mc:AlternateContent>
    </comment>
    <comment ref="B25" authorId="0">
      <text>
        <r>
          <rPr>
            <sz val="10"/>
            <rFont val="Arial"/>
            <family val="2"/>
          </rPr>
          <t xml:space="preserve">User-selected 8.2% WACC retained as the main DCF scenario.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18</xdr:rowOff>
              </xdr:to>
            </anchor>
          </commentPr>
        </mc:Choice>
        <mc:Fallback/>
      </mc:AlternateContent>
    </comment>
    <comment ref="B28" authorId="0">
      <text>
        <r>
          <rPr>
            <sz val="10"/>
            <rFont val="Arial"/>
            <family val="2"/>
          </rPr>
          <t xml:space="preserve">Gordon Growth assumption; must remain below WACC.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18</xdr:rowOff>
              </xdr:to>
            </anchor>
          </commentPr>
        </mc:Choice>
        <mc:Fallback/>
      </mc:AlternateContent>
    </comment>
    <comment ref="B29" authorId="0">
      <text>
        <r>
          <rPr>
            <sz val="10"/>
            <rFont val="Arial"/>
            <family val="2"/>
          </rPr>
          <t xml:space="preserve">Cross-check assumption applied to FY2030E EBITDA.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18</xdr:rowOff>
              </xdr:to>
            </anchor>
          </commentPr>
        </mc:Choice>
        <mc:Fallback/>
      </mc:AlternateContent>
    </comment>
    <comment ref="B30" authorId="0">
      <text>
        <r>
          <rPr>
            <sz val="10"/>
            <rFont val="Arial"/>
            <family val="2"/>
          </rPr>
          <t xml:space="preserve">Not used in the main bridge; NCI is deducted at FY2025 book value.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18</xdr:rowOff>
              </xdr:to>
            </anchor>
          </commentPr>
        </mc:Choice>
        <mc:Fallback/>
      </mc:AlternateContent>
    </comment>
    <comment ref="B35" authorId="0">
      <text>
        <r>
          <rPr>
            <sz val="10"/>
            <rFont val="Arial"/>
            <family val="2"/>
          </rPr>
          <t xml:space="preserve">FY2025 year-end shares net of treasury.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18</xdr:rowOff>
              </xdr:to>
            </anchor>
          </commentPr>
        </mc:Choice>
        <mc:Fallback/>
      </mc:AlternateContent>
    </comment>
    <comment ref="B36" authorId="0">
      <text>
        <r>
          <rPr>
            <sz val="10"/>
            <rFont val="Arial"/>
            <family val="2"/>
          </rPr>
          <t xml:space="preserve">7 Oct 2026 closing price: £46.23 (4,623p). Refresh before publishing.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18</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Roman Falla</author>
  </authors>
  <commentList>
    <comment ref="B4"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B5"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B6"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B7"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B8"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B9"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B11"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B12"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B13"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B14"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B19" authorId="0">
      <text>
        <r>
          <rPr>
            <sz val="10"/>
            <rFont val="Arial"/>
            <family val="2"/>
          </rPr>
          <t xml:space="preserve">Unilever FY2025 published average EUR/GBP rate; used for P&amp;L and cash-flow conversion.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B20" authorId="0">
      <text>
        <r>
          <rPr>
            <sz val="10"/>
            <rFont val="Arial"/>
            <family val="2"/>
          </rPr>
          <t xml:space="preserve">Model assumption for 31 Dec 2025 balance-sheet conversion. Refresh if a specific valuation-date FX rate is required.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4"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5"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6"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7"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8"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9"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11"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12"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13"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14"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15"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 ref="C16" authorId="0">
      <text>
        <r>
          <rPr>
            <sz val="10"/>
            <rFont val="Arial"/>
            <family val="2"/>
          </rPr>
          <t xml:space="preserve">Unilever FY2025 Annual Report / FY2025 Full Year Results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-132</xdr:colOff>
                <xdr:row>3</xdr:row>
                <xdr:rowOff>18</xdr:rowOff>
              </xdr:to>
            </anchor>
          </commentPr>
        </mc:Choice>
        <mc:Fallback/>
      </mc:AlternateContent>
    </comment>
  </commentList>
</comments>
</file>

<file path=xl/sharedStrings.xml><?xml version="1.0" encoding="utf-8"?>
<sst xmlns="http://schemas.openxmlformats.org/spreadsheetml/2006/main" count="220" uniqueCount="193">
  <si>
    <t xml:space="preserve">DISCOUNTED CASH FLOW MODEL</t>
  </si>
  <si>
    <t xml:space="preserve">UNILEVER PLC  (ULVR.L · LSE)</t>
  </si>
  <si>
    <t xml:space="preserve">Analyst:</t>
  </si>
  <si>
    <t xml:space="preserve">Roman Falla</t>
  </si>
  <si>
    <t xml:space="preserve">Degree:</t>
  </si>
  <si>
    <t xml:space="preserve">BSc Economics &amp; Management, University of Bristol</t>
  </si>
  <si>
    <t xml:space="preserve">Date:</t>
  </si>
  <si>
    <t xml:space="preserve">October 2026</t>
  </si>
  <si>
    <t xml:space="preserve">Model Version:</t>
  </si>
  <si>
    <t xml:space="preserve">2.0 — FY2025A rebased</t>
  </si>
  <si>
    <t xml:space="preserve">Currency:</t>
  </si>
  <si>
    <t xml:space="preserve">GBP (£mm unless stated)</t>
  </si>
  <si>
    <t xml:space="preserve">Projection Period:</t>
  </si>
  <si>
    <t xml:space="preserve">FY2026E – FY2030E (5-year)</t>
  </si>
  <si>
    <t xml:space="preserve">Valuation Method:</t>
  </si>
  <si>
    <t xml:space="preserve">Unlevered DCF + Gordon Growth Terminal Value</t>
  </si>
  <si>
    <t xml:space="preserve">Cross-check:</t>
  </si>
  <si>
    <t xml:space="preserve">EV/EBITDA Exit Multiple</t>
  </si>
  <si>
    <t xml:space="preserve">FY2025 actuals are continuing operations excluding Ice Cream. Euro reported figures are converted to GBP using Unilever's published FY2025 average EUR/GBP rate for P&amp;L/cash-flow items. Balance-sheet items use a separate year-end FX assumption.</t>
  </si>
  <si>
    <t xml:space="preserve">UNILEVER PLC (ULVR.L) — DCF VALUATION MODEL</t>
  </si>
  <si>
    <t xml:space="preserve">Roman Falla · BSc Economics &amp; Management, University of Bristol · October 2026</t>
  </si>
  <si>
    <t xml:space="preserve">OPERATING ASSUMPTIONS</t>
  </si>
  <si>
    <t xml:space="preserve">Assumption</t>
  </si>
  <si>
    <t xml:space="preserve">2026E</t>
  </si>
  <si>
    <t xml:space="preserve">2027E</t>
  </si>
  <si>
    <t xml:space="preserve">2028E</t>
  </si>
  <si>
    <t xml:space="preserve">2029E</t>
  </si>
  <si>
    <t xml:space="preserve">2030E</t>
  </si>
  <si>
    <t xml:space="preserve">Basis</t>
  </si>
  <si>
    <t xml:space="preserve">Revenue Growth (%)</t>
  </si>
  <si>
    <t xml:space="preserve">Author assumption; 2026 sits within Unilever's 4–6% underlying sales-growth guidance range, with reported GBP growth affected by FX/disposals.</t>
  </si>
  <si>
    <t xml:space="preserve">EBIT Margin (%)</t>
  </si>
  <si>
    <t xml:space="preserve">FY2025A reported EBIT margin = 17.9%; gradual expansion is an author forecast, not company guidance.</t>
  </si>
  <si>
    <t xml:space="preserve">Tax Rate (%)</t>
  </si>
  <si>
    <t xml:space="preserve">FY2025 underlying effective tax rate = 25.7%.</t>
  </si>
  <si>
    <t xml:space="preserve">D&amp;A as % Revenue</t>
  </si>
  <si>
    <t xml:space="preserve">FY2025A D&amp;A €1,310m / turnover €50,503m ≈ 2.6%.</t>
  </si>
  <si>
    <t xml:space="preserve">Capex as % Revenue</t>
  </si>
  <si>
    <t xml:space="preserve">FY2025A gross capex €1,591m / turnover €50,503m ≈ 3.15%.</t>
  </si>
  <si>
    <t xml:space="preserve">Change in NWC as % Revenue</t>
  </si>
  <si>
    <t xml:space="preserve">Normalised assumption. FY2025 reported working-capital cash inflow was €116m, so a 0.3% revenue inflow is deliberately conservative.</t>
  </si>
  <si>
    <t xml:space="preserve">WACC ASSUMPTIONS</t>
  </si>
  <si>
    <t xml:space="preserve">Risk-Free Rate (%)</t>
  </si>
  <si>
    <t xml:space="preserve">User-selected modelling input; refresh with the relevant UK 10Y gilt yield.</t>
  </si>
  <si>
    <t xml:space="preserve">Equity Risk Premium (%)</t>
  </si>
  <si>
    <t xml:space="preserve">User-selected modelling input.</t>
  </si>
  <si>
    <t xml:space="preserve">Beta</t>
  </si>
  <si>
    <t xml:space="preserve">Cost of Equity (%)</t>
  </si>
  <si>
    <t xml:space="preserve">CAPM = Rf + Beta × ERP.</t>
  </si>
  <si>
    <t xml:space="preserve">Pre-tax Cost of Debt (%)</t>
  </si>
  <si>
    <t xml:space="preserve">Post-tax Cost of Debt (%)</t>
  </si>
  <si>
    <t xml:space="preserve">Kd × (1 − tax rate).</t>
  </si>
  <si>
    <t xml:space="preserve">Debt / (Debt + Equity)</t>
  </si>
  <si>
    <t xml:space="preserve">Market-value capital structure weight.</t>
  </si>
  <si>
    <t xml:space="preserve">Equity / (Debt + Equity)</t>
  </si>
  <si>
    <t xml:space="preserve">1 − debt weight.</t>
  </si>
  <si>
    <t xml:space="preserve">Market Capitalisation (£mm)</t>
  </si>
  <si>
    <t xml:space="preserve">Current share price × FY2025 year-end share count.</t>
  </si>
  <si>
    <t xml:space="preserve">Net Debt (£mm)</t>
  </si>
  <si>
    <t xml:space="preserve">FY2025 closing net debt × year-end FX.</t>
  </si>
  <si>
    <t xml:space="preserve">Calculated WACC (%)</t>
  </si>
  <si>
    <t xml:space="preserve">Calculated market-based WACC.</t>
  </si>
  <si>
    <t xml:space="preserve">DCF WACC used (%)</t>
  </si>
  <si>
    <t xml:space="preserve">User-selected 8.2% WACC retained as the main DCF scenario.</t>
  </si>
  <si>
    <t xml:space="preserve">TERMINAL VALUE / EQUITY BRIDGE</t>
  </si>
  <si>
    <t xml:space="preserve">Terminal Growth Rate (%)</t>
  </si>
  <si>
    <t xml:space="preserve">Gordon Growth assumption; must remain below WACC.</t>
  </si>
  <si>
    <t xml:space="preserve">Exit EV/EBITDA Multiple</t>
  </si>
  <si>
    <t xml:space="preserve">Cross-check assumption applied to FY2030E EBITDA.</t>
  </si>
  <si>
    <t xml:space="preserve">NCI Valuation Multiple</t>
  </si>
  <si>
    <t xml:space="preserve">Not used in the main bridge; NCI is deducted at FY2025 book value.</t>
  </si>
  <si>
    <t xml:space="preserve">NCI (£mm)</t>
  </si>
  <si>
    <t xml:space="preserve">FY2025 balance-sheet NCI converted at year-end FX.</t>
  </si>
  <si>
    <t xml:space="preserve">Retained TMICC stake (£mm)</t>
  </si>
  <si>
    <t xml:space="preserve">Retained 19.85% stake, treated as a non-operating asset.</t>
  </si>
  <si>
    <t xml:space="preserve">SHARE DATA</t>
  </si>
  <si>
    <t xml:space="preserve">Shares Outstanding (mm)</t>
  </si>
  <si>
    <t xml:space="preserve">Current Share Price (£)</t>
  </si>
  <si>
    <t xml:space="preserve">Market reference price; the DCF balance sheet remains FY2025A.</t>
  </si>
  <si>
    <t xml:space="preserve">FX: £ per €1 — average</t>
  </si>
  <si>
    <t xml:space="preserve">FX: £ per €1 — year-end</t>
  </si>
  <si>
    <t xml:space="preserve">FY2025 ACTUALS — UNILEVER CONTINUING OPERATIONS (€mm)</t>
  </si>
  <si>
    <t xml:space="preserve">Item</t>
  </si>
  <si>
    <t xml:space="preserve">FY2024A</t>
  </si>
  <si>
    <t xml:space="preserve">FY2025A</t>
  </si>
  <si>
    <t xml:space="preserve">Source / note</t>
  </si>
  <si>
    <t xml:space="preserve">Turnover</t>
  </si>
  <si>
    <t xml:space="preserve">Source: Unilever Annual Report and Accounts 2025, continuing operations; 2024 comparatives re-presented for Ice Cream demerger.</t>
  </si>
  <si>
    <t xml:space="preserve">Operating profit (EBIT)</t>
  </si>
  <si>
    <t xml:space="preserve">Operating profit is the reported EBIT line used as the DCF starting point.</t>
  </si>
  <si>
    <t xml:space="preserve">Underlying operating profit</t>
  </si>
  <si>
    <t xml:space="preserve">Depreciation &amp; amortisation</t>
  </si>
  <si>
    <t xml:space="preserve">Depreciation and amortisation used in Unilever's EBITDA reconciliation.</t>
  </si>
  <si>
    <t xml:space="preserve">Purchase of PP&amp;E</t>
  </si>
  <si>
    <t xml:space="preserve">Purchase of intangible assets</t>
  </si>
  <si>
    <t xml:space="preserve">Total gross capex</t>
  </si>
  <si>
    <t xml:space="preserve">Gross capex = PP&amp;E purchases + intangible purchases.</t>
  </si>
  <si>
    <t xml:space="preserve">Change in working capital</t>
  </si>
  <si>
    <t xml:space="preserve">Positive value is a cash inflow / working-capital release.</t>
  </si>
  <si>
    <t xml:space="preserve">Underlying effective tax rate</t>
  </si>
  <si>
    <t xml:space="preserve">Underlying effective tax rate. DCF uses this as a normalised tax assumption.</t>
  </si>
  <si>
    <t xml:space="preserve">Net debt</t>
  </si>
  <si>
    <t xml:space="preserve">Closing net debt at 31 Dec 2025.</t>
  </si>
  <si>
    <t xml:space="preserve">Non-controlling interests</t>
  </si>
  <si>
    <t xml:space="preserve">Retained TMICC equity investment</t>
  </si>
  <si>
    <t xml:space="preserve">Fair value of Unilever's retained 19.85% TMICC stake at the demerger.</t>
  </si>
  <si>
    <t xml:space="preserve">Shares outstanding, net of treasury (mm)</t>
  </si>
  <si>
    <t xml:space="preserve">Shares at 31 Dec 2025 after the 8-for-9 share consolidation, net of treasury shares.</t>
  </si>
  <si>
    <t xml:space="preserve">FX ASSUMPTIONS</t>
  </si>
  <si>
    <t xml:space="preserve">FY2025 average £ per €1</t>
  </si>
  <si>
    <t xml:space="preserve">Use published average rate for income statement and cash-flow items.</t>
  </si>
  <si>
    <t xml:space="preserve">Year-end £ per €1</t>
  </si>
  <si>
    <t xml:space="preserve">Used for net debt, NCI and retained TMICC stake.</t>
  </si>
  <si>
    <t xml:space="preserve">INCOME STATEMENT &amp; FREE CASH FLOW BRIDGE (£mm)</t>
  </si>
  <si>
    <t xml:space="preserve">2025A</t>
  </si>
  <si>
    <t xml:space="preserve">REVENUE</t>
  </si>
  <si>
    <t xml:space="preserve">Revenue</t>
  </si>
  <si>
    <t xml:space="preserve">n/a</t>
  </si>
  <si>
    <t xml:space="preserve">PROFITABILITY</t>
  </si>
  <si>
    <t xml:space="preserve">EBIT</t>
  </si>
  <si>
    <t xml:space="preserve">Tax</t>
  </si>
  <si>
    <t xml:space="preserve">NOPAT (EBIT after tax)</t>
  </si>
  <si>
    <t xml:space="preserve">FREE CASH FLOW BRIDGE</t>
  </si>
  <si>
    <t xml:space="preserve">D&amp;A</t>
  </si>
  <si>
    <t xml:space="preserve">Capex</t>
  </si>
  <si>
    <t xml:space="preserve">Change in NWC</t>
  </si>
  <si>
    <t xml:space="preserve">Unlevered Free Cash Flow (UFCF)</t>
  </si>
  <si>
    <t xml:space="preserve">Underlying EBITDA (memo)</t>
  </si>
  <si>
    <t xml:space="preserve">Method note: reported operating profit (EBIT) is used rather than underlying operating profit, avoiding an automatic assumption that all non-underlying costs are non-cash or non-recurring. The forecast EBIT margin therefore starts from the reported 17.9% FY2025A margin and expands gradually.</t>
  </si>
  <si>
    <t xml:space="preserve">DCF VALUATION — UNILEVER PLC (ULVR.L)</t>
  </si>
  <si>
    <t xml:space="preserve">DISCOUNTED CASH FLOWS</t>
  </si>
  <si>
    <t xml:space="preserve">UFCF (£mm)</t>
  </si>
  <si>
    <t xml:space="preserve">Discount Period</t>
  </si>
  <si>
    <t xml:space="preserve">Discount Factor</t>
  </si>
  <si>
    <t xml:space="preserve">PV of UFCF (£mm)</t>
  </si>
  <si>
    <t xml:space="preserve">TERMINAL VALUE — GORDON GROWTH</t>
  </si>
  <si>
    <t xml:space="preserve">Terminal Year UFCF (£mm)</t>
  </si>
  <si>
    <t xml:space="preserve">Terminal Growth Rate</t>
  </si>
  <si>
    <t xml:space="preserve">WACC</t>
  </si>
  <si>
    <t xml:space="preserve">Terminal Value — Gordon Growth (£mm)</t>
  </si>
  <si>
    <t xml:space="preserve">PV of Terminal Value (£mm)</t>
  </si>
  <si>
    <t xml:space="preserve">Terminal Value as % of EV</t>
  </si>
  <si>
    <t xml:space="preserve">Implied Terminal EV/EBITDA</t>
  </si>
  <si>
    <t xml:space="preserve">ENTERPRISE &amp; EQUITY VALUE — GORDON GROWTH</t>
  </si>
  <si>
    <t xml:space="preserve">Sum of PV of FCFs (£mm)</t>
  </si>
  <si>
    <t xml:space="preserve">Enterprise Value (£mm)</t>
  </si>
  <si>
    <t xml:space="preserve">Less: Net Debt (£mm)</t>
  </si>
  <si>
    <t xml:space="preserve">Less: Non-controlling interests (£mm)</t>
  </si>
  <si>
    <t xml:space="preserve">Plus: Retained TMICC stake (£mm)</t>
  </si>
  <si>
    <t xml:space="preserve">Equity Value (£mm)</t>
  </si>
  <si>
    <t xml:space="preserve">Implied Share Price (£)</t>
  </si>
  <si>
    <t xml:space="preserve">Main DCF uses the user-selected 8.2% WACC. The calculated market-based WACC is shown on Assumptions B24 for transparency.</t>
  </si>
  <si>
    <t xml:space="preserve">Upside / (Downside) (%)</t>
  </si>
  <si>
    <t xml:space="preserve">EXIT MULTIPLE CROSS-CHECK</t>
  </si>
  <si>
    <t xml:space="preserve">FY2030E Underlying EBITDA (£mm)</t>
  </si>
  <si>
    <t xml:space="preserve">Terminal Value — Exit Multiple (£mm)</t>
  </si>
  <si>
    <t xml:space="preserve">Difference vs Gordon Growth (%)</t>
  </si>
  <si>
    <t xml:space="preserve">A large difference between terminal methods is not automatically an error; it is a signal to revisit the WACC, terminal growth rate, or exit multiple.</t>
  </si>
  <si>
    <t xml:space="preserve">Implied Perpetual Growth Rate (%)</t>
  </si>
  <si>
    <t xml:space="preserve">SENSITIVITY ANALYSIS — IMPLIED SHARE PRICE (£)</t>
  </si>
  <si>
    <t xml:space="preserve">TABLE 1: GORDON GROWTH — WACC VS TERMINAL GROWTH</t>
  </si>
  <si>
    <t xml:space="preserve">WACC \ TGR</t>
  </si>
  <si>
    <t xml:space="preserve">TABLE 2: EXIT MULTIPLE — WACC VS EXIT EV/EBITDA</t>
  </si>
  <si>
    <t xml:space="preserve">WACC \ Multiple</t>
  </si>
  <si>
    <t xml:space="preserve">Green = implied price above the market reference price in Assumptions B36. The centre cells (D8 and D19) use the main DCF WACC, terminal growth and exit multiple and therefore reconcile to the main valuation.</t>
  </si>
  <si>
    <t xml:space="preserve">REVIEW NOTES — MODEL CHECKS &amp; CHANGES</t>
  </si>
  <si>
    <t xml:space="preserve">AUTOMATED CHECKS</t>
  </si>
  <si>
    <t xml:space="preserve">Gordon sensitivity centre reconciles</t>
  </si>
  <si>
    <t xml:space="preserve">Exit sensitivity centre reconciles</t>
  </si>
  <si>
    <t xml:space="preserve">WACC &gt; terminal growth</t>
  </si>
  <si>
    <t xml:space="preserve">FY2025 EBIT margin ties to reported 17.9%</t>
  </si>
  <si>
    <t xml:space="preserve">KEY FIXES FROM THE PRIOR MODEL</t>
  </si>
  <si>
    <t xml:space="preserve">Base year</t>
  </si>
  <si>
    <t xml:space="preserve">FY2025A continuing operations is now the actual starting point; FY2026E–FY2030E are forecasts.</t>
  </si>
  <si>
    <t xml:space="preserve">Currency</t>
  </si>
  <si>
    <t xml:space="preserve">All DCF operating figures are converted from EUR into GBP; the source sheet retains the reported EUR figures.</t>
  </si>
  <si>
    <t xml:space="preserve">The DCF starts from reported FY2025 EBIT / operating profit of €9,037m rather than an invented historical margin.</t>
  </si>
  <si>
    <t xml:space="preserve">D&amp;A / capex / NWC</t>
  </si>
  <si>
    <t xml:space="preserve">FY2025 actual D&amp;A €1,310m, gross capex €1,591m and working-capital cash flow €116m are sourced from Unilever's 2025 reporting.</t>
  </si>
  <si>
    <t xml:space="preserve">FY2025 net debt is €23,076m, converted at the year-end FX assumption — materially higher than the prior £9.8bn input.</t>
  </si>
  <si>
    <t xml:space="preserve">Shares</t>
  </si>
  <si>
    <t xml:space="preserve">FY2025 year-end shares net of treasury = 2,179.5m after the share consolidation.</t>
  </si>
  <si>
    <t xml:space="preserve">Terminal cross-check</t>
  </si>
  <si>
    <t xml:space="preserve">A full EV/EBITDA exit-multiple method and sensitivity table are included.</t>
  </si>
  <si>
    <t xml:space="preserve">The main DCF uses the requested 8.2% WACC as an explicit scenario input. A formula-based market WACC is shown separately rather than pretending it equals 8.2%.</t>
  </si>
  <si>
    <t xml:space="preserve">IMPORTANT JUDGEMENT CALLS</t>
  </si>
  <si>
    <t xml:space="preserve">8.2% is a user-selected scenario, not a mechanically derived result from the displayed CAPM inputs. This is deliberate and transparent.</t>
  </si>
  <si>
    <t xml:space="preserve">Forecast margins</t>
  </si>
  <si>
    <t xml:space="preserve">The EBIT margin rises from 17.9% to 18.7% over the forecast period; this is an analyst assumption.</t>
  </si>
  <si>
    <t xml:space="preserve">TMICC</t>
  </si>
  <si>
    <t xml:space="preserve">The retained TMICC stake is treated as a non-operating asset and added to equity value because it does not contribute to the operating FCF forecast.</t>
  </si>
  <si>
    <t xml:space="preserve">NCI</t>
  </si>
  <si>
    <t xml:space="preserve">NCI is deducted at its FY2025 book value rather than inventing a valuation multiple for minorities.</t>
  </si>
</sst>
</file>

<file path=xl/styles.xml><?xml version="1.0" encoding="utf-8"?>
<styleSheet xmlns="http://schemas.openxmlformats.org/spreadsheetml/2006/main">
  <numFmts count="11">
    <numFmt numFmtId="164" formatCode="General"/>
    <numFmt numFmtId="165" formatCode="0.0%;\(0.0%\);\-"/>
    <numFmt numFmtId="166" formatCode="0.00"/>
    <numFmt numFmtId="167" formatCode="\£#,##0.0;&quot;(£&quot;#,##0.0\);\-"/>
    <numFmt numFmtId="168" formatCode="0.0\x"/>
    <numFmt numFmtId="169" formatCode="#,##0.0;\(#,##0.0\);\-"/>
    <numFmt numFmtId="170" formatCode="\£#,##0.00;&quot;(£&quot;#,##0.00\);\-"/>
    <numFmt numFmtId="171" formatCode="0.000"/>
    <numFmt numFmtId="172" formatCode="\€#,##0.0;&quot;(€&quot;#,##0.0\);\-"/>
    <numFmt numFmtId="173" formatCode="0.0"/>
    <numFmt numFmtId="174" formatCode="0.00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3"/>
      <color rgb="FFFFFFFF"/>
      <name val="Arial"/>
      <family val="0"/>
      <charset val="1"/>
    </font>
    <font>
      <b val="true"/>
      <sz val="10"/>
      <color rgb="FF000000"/>
      <name val="Arial"/>
      <family val="0"/>
      <charset val="1"/>
    </font>
    <font>
      <sz val="10"/>
      <color rgb="FF000000"/>
      <name val="Arial"/>
      <family val="0"/>
      <charset val="1"/>
    </font>
    <font>
      <sz val="9"/>
      <color rgb="FF808080"/>
      <name val="Arial"/>
      <family val="0"/>
      <charset val="1"/>
    </font>
    <font>
      <sz val="10"/>
      <color rgb="FF404040"/>
      <name val="Arial"/>
      <family val="0"/>
      <charset val="1"/>
    </font>
    <font>
      <b val="true"/>
      <sz val="11"/>
      <color rgb="FFFFFFFF"/>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sz val="10"/>
      <name val="Arial"/>
      <family val="2"/>
    </font>
    <font>
      <sz val="10"/>
      <color rgb="FF808080"/>
      <name val="Arial"/>
      <family val="0"/>
      <charset val="1"/>
    </font>
    <font>
      <sz val="9"/>
      <color rgb="FF404040"/>
      <name val="Arial"/>
      <family val="0"/>
      <charset val="1"/>
    </font>
  </fonts>
  <fills count="7">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EEAF1"/>
        <bgColor rgb="FFC6EFCE"/>
      </patternFill>
    </fill>
    <fill>
      <patternFill patternType="solid">
        <fgColor rgb="FFFFFF00"/>
        <bgColor rgb="FFFFFF00"/>
      </patternFill>
    </fill>
    <fill>
      <patternFill patternType="solid">
        <fgColor rgb="FFC6EFCE"/>
        <bgColor rgb="FFDEEAF1"/>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5" fontId="12" fillId="5" borderId="0" xfId="0" applyFont="true" applyBorder="false" applyAlignment="true" applyProtection="false">
      <alignment horizontal="general" vertical="bottom" textRotation="0" wrapText="false" indent="0" shrinkToFit="false"/>
      <protection locked="true" hidden="false"/>
    </xf>
    <xf numFmtId="168" fontId="12" fillId="5"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general" vertical="bottom" textRotation="0" wrapText="false" indent="0" shrinkToFit="false"/>
      <protection locked="true" hidden="false"/>
    </xf>
    <xf numFmtId="170" fontId="12" fillId="5" borderId="0" xfId="0" applyFont="true" applyBorder="false" applyAlignment="true" applyProtection="false">
      <alignment horizontal="general" vertical="bottom" textRotation="0" wrapText="false" indent="0" shrinkToFit="false"/>
      <protection locked="true" hidden="false"/>
    </xf>
    <xf numFmtId="171" fontId="13"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12" fillId="0" borderId="0" xfId="0" applyFont="true" applyBorder="fals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69" fontId="12" fillId="0" borderId="0" xfId="0" applyFont="true" applyBorder="false" applyAlignment="true" applyProtection="false">
      <alignment horizontal="general" vertical="bottom" textRotation="0" wrapText="false" indent="0" shrinkToFit="false"/>
      <protection locked="true" hidden="false"/>
    </xf>
    <xf numFmtId="171" fontId="12" fillId="0" borderId="0" xfId="0" applyFont="true" applyBorder="false" applyAlignment="tru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7" fontId="6" fillId="4"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73" fontId="12" fillId="0" borderId="0" xfId="0" applyFont="true" applyBorder="false" applyAlignment="true" applyProtection="false">
      <alignment horizontal="general" vertical="bottom" textRotation="0" wrapText="false" indent="0" shrinkToFit="false"/>
      <protection locked="true" hidden="false"/>
    </xf>
    <xf numFmtId="174" fontId="7"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70" fontId="6" fillId="6"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65" fontId="11" fillId="3" borderId="0" xfId="0" applyFont="true" applyBorder="false" applyAlignment="true" applyProtection="false">
      <alignment horizontal="general" vertical="bottom" textRotation="0" wrapText="false" indent="0" shrinkToFit="false"/>
      <protection locked="true" hidden="false"/>
    </xf>
    <xf numFmtId="168" fontId="11"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7" min="1" style="1" width="18"/>
  </cols>
  <sheetData>
    <row r="2" customFormat="false" ht="15" hidden="false" customHeight="true" outlineLevel="0" collapsed="false">
      <c r="B2" s="2" t="s">
        <v>0</v>
      </c>
      <c r="C2" s="2"/>
      <c r="D2" s="2"/>
      <c r="E2" s="2"/>
      <c r="F2" s="2"/>
      <c r="G2" s="2"/>
    </row>
    <row r="3" customFormat="false" ht="15" hidden="false" customHeight="true" outlineLevel="0" collapsed="false">
      <c r="B3" s="2"/>
      <c r="C3" s="2"/>
      <c r="D3" s="2"/>
      <c r="E3" s="2"/>
      <c r="F3" s="2"/>
      <c r="G3" s="2"/>
    </row>
    <row r="4" customFormat="false" ht="15.75" hidden="false" customHeight="true" outlineLevel="0" collapsed="false">
      <c r="B4" s="3" t="s">
        <v>1</v>
      </c>
      <c r="C4" s="3"/>
      <c r="D4" s="3"/>
      <c r="E4" s="3"/>
      <c r="F4" s="3"/>
      <c r="G4" s="3"/>
    </row>
    <row r="7" customFormat="false" ht="15" hidden="false" customHeight="true" outlineLevel="0" collapsed="false">
      <c r="B7" s="4" t="s">
        <v>2</v>
      </c>
      <c r="D7" s="5" t="s">
        <v>3</v>
      </c>
      <c r="E7" s="5"/>
      <c r="F7" s="5"/>
      <c r="G7" s="5"/>
    </row>
    <row r="8" customFormat="false" ht="15" hidden="false" customHeight="true" outlineLevel="0" collapsed="false">
      <c r="B8" s="4" t="s">
        <v>4</v>
      </c>
      <c r="D8" s="5" t="s">
        <v>5</v>
      </c>
      <c r="E8" s="5"/>
      <c r="F8" s="5"/>
      <c r="G8" s="5"/>
    </row>
    <row r="9" customFormat="false" ht="15" hidden="false" customHeight="true" outlineLevel="0" collapsed="false">
      <c r="B9" s="4" t="s">
        <v>6</v>
      </c>
      <c r="D9" s="5" t="s">
        <v>7</v>
      </c>
      <c r="E9" s="5"/>
      <c r="F9" s="5"/>
      <c r="G9" s="5"/>
    </row>
    <row r="10" customFormat="false" ht="15" hidden="false" customHeight="true" outlineLevel="0" collapsed="false">
      <c r="B10" s="4" t="s">
        <v>8</v>
      </c>
      <c r="D10" s="5" t="s">
        <v>9</v>
      </c>
      <c r="E10" s="5"/>
      <c r="F10" s="5"/>
      <c r="G10" s="5"/>
    </row>
    <row r="11" customFormat="false" ht="15" hidden="false" customHeight="true" outlineLevel="0" collapsed="false">
      <c r="B11" s="4" t="s">
        <v>10</v>
      </c>
      <c r="D11" s="5" t="s">
        <v>11</v>
      </c>
      <c r="E11" s="5"/>
      <c r="F11" s="5"/>
      <c r="G11" s="5"/>
    </row>
    <row r="12" customFormat="false" ht="15" hidden="false" customHeight="true" outlineLevel="0" collapsed="false">
      <c r="B12" s="4" t="s">
        <v>12</v>
      </c>
      <c r="D12" s="5" t="s">
        <v>13</v>
      </c>
      <c r="E12" s="5"/>
      <c r="F12" s="5"/>
      <c r="G12" s="5"/>
    </row>
    <row r="13" customFormat="false" ht="15" hidden="false" customHeight="true" outlineLevel="0" collapsed="false">
      <c r="B13" s="4" t="s">
        <v>14</v>
      </c>
      <c r="D13" s="5" t="s">
        <v>15</v>
      </c>
      <c r="E13" s="5"/>
      <c r="F13" s="5"/>
      <c r="G13" s="5"/>
    </row>
    <row r="14" customFormat="false" ht="15" hidden="false" customHeight="true" outlineLevel="0" collapsed="false">
      <c r="B14" s="4" t="s">
        <v>16</v>
      </c>
      <c r="D14" s="5" t="s">
        <v>17</v>
      </c>
      <c r="E14" s="5"/>
      <c r="F14" s="5"/>
      <c r="G14" s="5"/>
    </row>
    <row r="16" customFormat="false" ht="36" hidden="false" customHeight="true" outlineLevel="0" collapsed="false">
      <c r="B16" s="6" t="s">
        <v>18</v>
      </c>
      <c r="C16" s="6"/>
      <c r="D16" s="6"/>
      <c r="E16" s="6"/>
      <c r="F16" s="6"/>
      <c r="G16" s="6"/>
    </row>
    <row r="17" customFormat="false" ht="15" hidden="false" customHeight="true" outlineLevel="0" collapsed="false">
      <c r="B17" s="6"/>
      <c r="C17" s="6"/>
      <c r="D17" s="6"/>
      <c r="E17" s="6"/>
      <c r="F17" s="6"/>
      <c r="G17" s="6"/>
    </row>
  </sheetData>
  <mergeCells count="11">
    <mergeCell ref="B2:G3"/>
    <mergeCell ref="B4:G4"/>
    <mergeCell ref="D7:G7"/>
    <mergeCell ref="D8:G8"/>
    <mergeCell ref="D9:G9"/>
    <mergeCell ref="D10:G10"/>
    <mergeCell ref="D11:G11"/>
    <mergeCell ref="D12:G12"/>
    <mergeCell ref="D13:G13"/>
    <mergeCell ref="D14:G14"/>
    <mergeCell ref="B16:G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4"/>
    <col collapsed="false" customWidth="true" hidden="false" outlineLevel="0" max="6" min="2" style="1" width="14"/>
    <col collapsed="false" customWidth="true" hidden="false" outlineLevel="0" max="7" min="7" style="1" width="82"/>
  </cols>
  <sheetData>
    <row r="1" customFormat="false" ht="17.25" hidden="false" customHeight="true" outlineLevel="0" collapsed="false">
      <c r="A1" s="2" t="s">
        <v>19</v>
      </c>
      <c r="B1" s="2"/>
      <c r="C1" s="2"/>
      <c r="D1" s="2"/>
      <c r="E1" s="2"/>
      <c r="F1" s="2"/>
      <c r="G1" s="2"/>
    </row>
    <row r="2" customFormat="false" ht="15" hidden="false" customHeight="true" outlineLevel="0" collapsed="false">
      <c r="A2" s="7" t="s">
        <v>20</v>
      </c>
      <c r="B2" s="7"/>
      <c r="C2" s="7"/>
      <c r="D2" s="7"/>
      <c r="E2" s="7"/>
      <c r="F2" s="7"/>
      <c r="G2" s="7"/>
    </row>
    <row r="4" customFormat="false" ht="15" hidden="false" customHeight="true" outlineLevel="0" collapsed="false">
      <c r="A4" s="8" t="s">
        <v>21</v>
      </c>
      <c r="B4" s="8"/>
      <c r="C4" s="8"/>
      <c r="D4" s="8"/>
      <c r="E4" s="8"/>
      <c r="F4" s="8"/>
      <c r="G4" s="8"/>
    </row>
    <row r="5" customFormat="false" ht="15" hidden="false" customHeight="true" outlineLevel="0" collapsed="false">
      <c r="A5" s="4" t="s">
        <v>22</v>
      </c>
      <c r="B5" s="9" t="s">
        <v>23</v>
      </c>
      <c r="C5" s="9" t="s">
        <v>24</v>
      </c>
      <c r="D5" s="9" t="s">
        <v>25</v>
      </c>
      <c r="E5" s="9" t="s">
        <v>26</v>
      </c>
      <c r="F5" s="9" t="s">
        <v>27</v>
      </c>
      <c r="G5" s="9" t="s">
        <v>28</v>
      </c>
    </row>
    <row r="6" customFormat="false" ht="21.75" hidden="false" customHeight="true" outlineLevel="0" collapsed="false">
      <c r="A6" s="10" t="s">
        <v>29</v>
      </c>
      <c r="B6" s="11" t="n">
        <v>0.045</v>
      </c>
      <c r="C6" s="11" t="n">
        <v>0.048</v>
      </c>
      <c r="D6" s="11" t="n">
        <v>0.05</v>
      </c>
      <c r="E6" s="11" t="n">
        <v>0.05</v>
      </c>
      <c r="F6" s="11" t="n">
        <v>0.05</v>
      </c>
      <c r="G6" s="12" t="s">
        <v>30</v>
      </c>
    </row>
    <row r="7" customFormat="false" ht="15" hidden="false" customHeight="true" outlineLevel="0" collapsed="false">
      <c r="A7" s="10" t="s">
        <v>31</v>
      </c>
      <c r="B7" s="11" t="n">
        <v>0.179</v>
      </c>
      <c r="C7" s="11" t="n">
        <v>0.181</v>
      </c>
      <c r="D7" s="11" t="n">
        <v>0.183</v>
      </c>
      <c r="E7" s="11" t="n">
        <v>0.185</v>
      </c>
      <c r="F7" s="11" t="n">
        <v>0.187</v>
      </c>
      <c r="G7" s="12" t="s">
        <v>32</v>
      </c>
    </row>
    <row r="8" customFormat="false" ht="15" hidden="false" customHeight="true" outlineLevel="0" collapsed="false">
      <c r="A8" s="10" t="s">
        <v>33</v>
      </c>
      <c r="B8" s="11" t="n">
        <v>0.257</v>
      </c>
      <c r="C8" s="11" t="n">
        <v>0.257</v>
      </c>
      <c r="D8" s="11" t="n">
        <v>0.257</v>
      </c>
      <c r="E8" s="11" t="n">
        <v>0.257</v>
      </c>
      <c r="F8" s="11" t="n">
        <v>0.257</v>
      </c>
      <c r="G8" s="12" t="s">
        <v>34</v>
      </c>
    </row>
    <row r="9" customFormat="false" ht="15" hidden="false" customHeight="true" outlineLevel="0" collapsed="false">
      <c r="A9" s="10" t="s">
        <v>35</v>
      </c>
      <c r="B9" s="11" t="n">
        <v>0.026</v>
      </c>
      <c r="C9" s="11" t="n">
        <v>0.026</v>
      </c>
      <c r="D9" s="11" t="n">
        <v>0.026</v>
      </c>
      <c r="E9" s="11" t="n">
        <v>0.026</v>
      </c>
      <c r="F9" s="11" t="n">
        <v>0.026</v>
      </c>
      <c r="G9" s="12" t="s">
        <v>36</v>
      </c>
    </row>
    <row r="10" customFormat="false" ht="15" hidden="false" customHeight="true" outlineLevel="0" collapsed="false">
      <c r="A10" s="10" t="s">
        <v>37</v>
      </c>
      <c r="B10" s="11" t="n">
        <v>0.0315030790250084</v>
      </c>
      <c r="C10" s="11" t="n">
        <v>0.0315030790250084</v>
      </c>
      <c r="D10" s="11" t="n">
        <v>0.0315030790250084</v>
      </c>
      <c r="E10" s="11" t="n">
        <v>0.0315030790250084</v>
      </c>
      <c r="F10" s="11" t="n">
        <v>0.0315030790250084</v>
      </c>
      <c r="G10" s="12" t="s">
        <v>38</v>
      </c>
    </row>
    <row r="11" customFormat="false" ht="21.75" hidden="false" customHeight="true" outlineLevel="0" collapsed="false">
      <c r="A11" s="10" t="s">
        <v>39</v>
      </c>
      <c r="B11" s="11" t="n">
        <v>0.003</v>
      </c>
      <c r="C11" s="11" t="n">
        <v>0.003</v>
      </c>
      <c r="D11" s="11" t="n">
        <v>0.003</v>
      </c>
      <c r="E11" s="11" t="n">
        <v>0.003</v>
      </c>
      <c r="F11" s="11" t="n">
        <v>0.003</v>
      </c>
      <c r="G11" s="12" t="s">
        <v>40</v>
      </c>
    </row>
    <row r="13" customFormat="false" ht="15" hidden="false" customHeight="true" outlineLevel="0" collapsed="false">
      <c r="A13" s="8" t="s">
        <v>41</v>
      </c>
      <c r="B13" s="8"/>
      <c r="C13" s="8"/>
      <c r="D13" s="8"/>
      <c r="E13" s="8"/>
      <c r="F13" s="8"/>
      <c r="G13" s="8"/>
    </row>
    <row r="14" customFormat="false" ht="53.25" hidden="false" customHeight="true" outlineLevel="0" collapsed="false">
      <c r="A14" s="10" t="s">
        <v>42</v>
      </c>
      <c r="B14" s="11" t="n">
        <v>0.045</v>
      </c>
      <c r="C14" s="12" t="s">
        <v>43</v>
      </c>
    </row>
    <row r="15" customFormat="false" ht="21.75" hidden="false" customHeight="true" outlineLevel="0" collapsed="false">
      <c r="A15" s="10" t="s">
        <v>44</v>
      </c>
      <c r="B15" s="11" t="n">
        <v>0.05</v>
      </c>
      <c r="C15" s="12" t="s">
        <v>45</v>
      </c>
    </row>
    <row r="16" customFormat="false" ht="21.75" hidden="false" customHeight="true" outlineLevel="0" collapsed="false">
      <c r="A16" s="10" t="s">
        <v>46</v>
      </c>
      <c r="B16" s="13" t="n">
        <v>0.65</v>
      </c>
      <c r="C16" s="12" t="s">
        <v>45</v>
      </c>
    </row>
    <row r="17" customFormat="false" ht="21.75" hidden="false" customHeight="true" outlineLevel="0" collapsed="false">
      <c r="A17" s="10" t="s">
        <v>47</v>
      </c>
      <c r="B17" s="14" t="n">
        <f aca="false">B14+B16*B15</f>
        <v>0.0775</v>
      </c>
      <c r="C17" s="12" t="s">
        <v>48</v>
      </c>
    </row>
    <row r="18" customFormat="false" ht="21.75" hidden="false" customHeight="true" outlineLevel="0" collapsed="false">
      <c r="A18" s="10" t="s">
        <v>49</v>
      </c>
      <c r="B18" s="11" t="n">
        <v>0.04</v>
      </c>
      <c r="C18" s="12" t="s">
        <v>45</v>
      </c>
    </row>
    <row r="19" customFormat="false" ht="21.75" hidden="false" customHeight="true" outlineLevel="0" collapsed="false">
      <c r="A19" s="10" t="s">
        <v>50</v>
      </c>
      <c r="B19" s="14" t="n">
        <f aca="false">B18*(1-B8)</f>
        <v>0.02972</v>
      </c>
      <c r="C19" s="12" t="s">
        <v>51</v>
      </c>
    </row>
    <row r="20" customFormat="false" ht="32.25" hidden="false" customHeight="true" outlineLevel="0" collapsed="false">
      <c r="A20" s="10" t="s">
        <v>52</v>
      </c>
      <c r="B20" s="14" t="n">
        <f aca="false">B23/(B22+B23)</f>
        <v>0.165986453141328</v>
      </c>
      <c r="C20" s="12" t="s">
        <v>53</v>
      </c>
    </row>
    <row r="21" customFormat="false" ht="15" hidden="false" customHeight="true" outlineLevel="0" collapsed="false">
      <c r="A21" s="10" t="s">
        <v>54</v>
      </c>
      <c r="B21" s="14" t="n">
        <f aca="false">1-B20</f>
        <v>0.834013546858673</v>
      </c>
      <c r="C21" s="12" t="s">
        <v>55</v>
      </c>
    </row>
    <row r="22" customFormat="false" ht="42.75" hidden="false" customHeight="true" outlineLevel="0" collapsed="false">
      <c r="A22" s="10" t="s">
        <v>56</v>
      </c>
      <c r="B22" s="15" t="n">
        <f aca="false">B36*B35</f>
        <v>100758.285</v>
      </c>
      <c r="C22" s="12" t="s">
        <v>57</v>
      </c>
    </row>
    <row r="23" customFormat="false" ht="32.25" hidden="false" customHeight="true" outlineLevel="0" collapsed="false">
      <c r="A23" s="10" t="s">
        <v>58</v>
      </c>
      <c r="B23" s="15" t="n">
        <f aca="false">'FY25 Actuals EUR'!C13*'FY25 Actuals EUR'!B20</f>
        <v>20053.044</v>
      </c>
      <c r="C23" s="12" t="s">
        <v>59</v>
      </c>
    </row>
    <row r="24" customFormat="false" ht="32.25" hidden="false" customHeight="true" outlineLevel="0" collapsed="false">
      <c r="A24" s="10" t="s">
        <v>60</v>
      </c>
      <c r="B24" s="14" t="n">
        <f aca="false">B17*B21+B19*B20</f>
        <v>0.0695691672689074</v>
      </c>
      <c r="C24" s="12" t="s">
        <v>61</v>
      </c>
    </row>
    <row r="25" customFormat="false" ht="53.25" hidden="false" customHeight="true" outlineLevel="0" collapsed="false">
      <c r="A25" s="10" t="s">
        <v>62</v>
      </c>
      <c r="B25" s="16" t="n">
        <v>0.082</v>
      </c>
      <c r="C25" s="12" t="s">
        <v>63</v>
      </c>
    </row>
    <row r="27" customFormat="false" ht="15" hidden="false" customHeight="true" outlineLevel="0" collapsed="false">
      <c r="A27" s="8" t="s">
        <v>64</v>
      </c>
      <c r="B27" s="8"/>
      <c r="C27" s="8"/>
      <c r="D27" s="8"/>
      <c r="E27" s="8"/>
      <c r="F27" s="8"/>
      <c r="G27" s="8"/>
    </row>
    <row r="28" customFormat="false" ht="42.75" hidden="false" customHeight="true" outlineLevel="0" collapsed="false">
      <c r="A28" s="10" t="s">
        <v>65</v>
      </c>
      <c r="B28" s="16" t="n">
        <v>0.025</v>
      </c>
      <c r="C28" s="12" t="s">
        <v>66</v>
      </c>
    </row>
    <row r="29" customFormat="false" ht="53.25" hidden="false" customHeight="true" outlineLevel="0" collapsed="false">
      <c r="A29" s="10" t="s">
        <v>67</v>
      </c>
      <c r="B29" s="17" t="n">
        <v>12</v>
      </c>
      <c r="C29" s="12" t="s">
        <v>68</v>
      </c>
    </row>
    <row r="30" customFormat="false" ht="53.25" hidden="false" customHeight="true" outlineLevel="0" collapsed="false">
      <c r="A30" s="10" t="s">
        <v>69</v>
      </c>
      <c r="B30" s="18" t="n">
        <v>0</v>
      </c>
      <c r="C30" s="12" t="s">
        <v>70</v>
      </c>
    </row>
    <row r="31" customFormat="false" ht="42.75" hidden="false" customHeight="true" outlineLevel="0" collapsed="false">
      <c r="A31" s="10" t="s">
        <v>71</v>
      </c>
      <c r="B31" s="15" t="n">
        <f aca="false">'FY25 Actuals EUR'!C14*'FY25 Actuals EUR'!B20</f>
        <v>1787.533</v>
      </c>
      <c r="C31" s="12" t="s">
        <v>72</v>
      </c>
    </row>
    <row r="32" customFormat="false" ht="42.75" hidden="false" customHeight="true" outlineLevel="0" collapsed="false">
      <c r="A32" s="10" t="s">
        <v>73</v>
      </c>
      <c r="B32" s="15" t="n">
        <f aca="false">'FY25 Actuals EUR'!C15*'FY25 Actuals EUR'!B20</f>
        <v>1438.195</v>
      </c>
      <c r="C32" s="12" t="s">
        <v>74</v>
      </c>
    </row>
    <row r="34" customFormat="false" ht="15" hidden="false" customHeight="true" outlineLevel="0" collapsed="false">
      <c r="A34" s="8" t="s">
        <v>75</v>
      </c>
      <c r="B34" s="8"/>
      <c r="C34" s="8"/>
      <c r="D34" s="8"/>
      <c r="E34" s="8"/>
      <c r="F34" s="8"/>
      <c r="G34" s="8"/>
    </row>
    <row r="35" customFormat="false" ht="15" hidden="false" customHeight="true" outlineLevel="0" collapsed="false">
      <c r="A35" s="10" t="s">
        <v>76</v>
      </c>
      <c r="B35" s="19" t="n">
        <f aca="false">'FY25 Actuals EUR'!C16</f>
        <v>2179.5</v>
      </c>
    </row>
    <row r="36" customFormat="false" ht="53.25" hidden="false" customHeight="true" outlineLevel="0" collapsed="false">
      <c r="A36" s="10" t="s">
        <v>77</v>
      </c>
      <c r="B36" s="20" t="n">
        <v>46.23</v>
      </c>
      <c r="C36" s="12" t="s">
        <v>78</v>
      </c>
    </row>
    <row r="37" customFormat="false" ht="15" hidden="false" customHeight="true" outlineLevel="0" collapsed="false">
      <c r="A37" s="10" t="s">
        <v>79</v>
      </c>
      <c r="B37" s="21" t="n">
        <f aca="false">'FY25 Actuals EUR'!B19</f>
        <v>0.855</v>
      </c>
    </row>
    <row r="38" customFormat="false" ht="15" hidden="false" customHeight="true" outlineLevel="0" collapsed="false">
      <c r="A38" s="10" t="s">
        <v>80</v>
      </c>
      <c r="B38" s="21" t="n">
        <f aca="false">'FY25 Actuals EUR'!B20</f>
        <v>0.869</v>
      </c>
    </row>
  </sheetData>
  <mergeCells count="6">
    <mergeCell ref="A1:G1"/>
    <mergeCell ref="A2:G2"/>
    <mergeCell ref="A4:G4"/>
    <mergeCell ref="A13:G13"/>
    <mergeCell ref="A27:G27"/>
    <mergeCell ref="A34:G3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8"/>
    <col collapsed="false" customWidth="true" hidden="false" outlineLevel="0" max="3" min="2" style="1" width="16"/>
    <col collapsed="false" customWidth="true" hidden="false" outlineLevel="0" max="4" min="4" style="1" width="95"/>
  </cols>
  <sheetData>
    <row r="1" customFormat="false" ht="17.25" hidden="false" customHeight="true" outlineLevel="0" collapsed="false">
      <c r="A1" s="2" t="s">
        <v>81</v>
      </c>
      <c r="B1" s="2"/>
      <c r="C1" s="2"/>
      <c r="D1" s="2"/>
    </row>
    <row r="2" customFormat="false" ht="15" hidden="false" customHeight="true" outlineLevel="0" collapsed="false">
      <c r="A2" s="9" t="s">
        <v>82</v>
      </c>
      <c r="B2" s="9" t="s">
        <v>83</v>
      </c>
      <c r="C2" s="9" t="s">
        <v>84</v>
      </c>
      <c r="D2" s="9" t="s">
        <v>85</v>
      </c>
    </row>
    <row r="4" customFormat="false" ht="21.75" hidden="false" customHeight="true" outlineLevel="0" collapsed="false">
      <c r="A4" s="22" t="s">
        <v>86</v>
      </c>
      <c r="B4" s="23" t="n">
        <v>52479</v>
      </c>
      <c r="C4" s="23" t="n">
        <v>50503</v>
      </c>
      <c r="D4" s="12" t="s">
        <v>87</v>
      </c>
    </row>
    <row r="5" customFormat="false" ht="15" hidden="false" customHeight="true" outlineLevel="0" collapsed="false">
      <c r="A5" s="22" t="s">
        <v>88</v>
      </c>
      <c r="B5" s="23" t="n">
        <v>8829</v>
      </c>
      <c r="C5" s="23" t="n">
        <v>9037</v>
      </c>
      <c r="D5" s="12" t="s">
        <v>89</v>
      </c>
    </row>
    <row r="6" customFormat="false" ht="15" hidden="false" customHeight="true" outlineLevel="0" collapsed="false">
      <c r="A6" s="22" t="s">
        <v>90</v>
      </c>
      <c r="B6" s="23" t="n">
        <v>10198</v>
      </c>
      <c r="C6" s="23" t="n">
        <v>10084</v>
      </c>
    </row>
    <row r="7" customFormat="false" ht="15" hidden="false" customHeight="true" outlineLevel="0" collapsed="false">
      <c r="A7" s="22" t="s">
        <v>91</v>
      </c>
      <c r="B7" s="23" t="n">
        <v>1236</v>
      </c>
      <c r="C7" s="23" t="n">
        <v>1310</v>
      </c>
      <c r="D7" s="12" t="s">
        <v>92</v>
      </c>
    </row>
    <row r="8" customFormat="false" ht="15" hidden="false" customHeight="true" outlineLevel="0" collapsed="false">
      <c r="A8" s="22" t="s">
        <v>93</v>
      </c>
      <c r="B8" s="23" t="n">
        <v>1381</v>
      </c>
      <c r="C8" s="23" t="n">
        <v>1417</v>
      </c>
    </row>
    <row r="9" customFormat="false" ht="15" hidden="false" customHeight="true" outlineLevel="0" collapsed="false">
      <c r="A9" s="22" t="s">
        <v>94</v>
      </c>
      <c r="B9" s="23" t="n">
        <v>233</v>
      </c>
      <c r="C9" s="23" t="n">
        <v>174</v>
      </c>
    </row>
    <row r="10" customFormat="false" ht="15" hidden="false" customHeight="true" outlineLevel="0" collapsed="false">
      <c r="A10" s="22" t="s">
        <v>95</v>
      </c>
      <c r="B10" s="24" t="n">
        <f aca="false">C8+C9</f>
        <v>1591</v>
      </c>
      <c r="C10" s="24" t="n">
        <f aca="false">C8+C9</f>
        <v>1591</v>
      </c>
      <c r="D10" s="12" t="s">
        <v>96</v>
      </c>
    </row>
    <row r="11" customFormat="false" ht="15" hidden="false" customHeight="true" outlineLevel="0" collapsed="false">
      <c r="A11" s="22" t="s">
        <v>97</v>
      </c>
      <c r="B11" s="23" t="n">
        <v>-188</v>
      </c>
      <c r="C11" s="23" t="n">
        <v>116</v>
      </c>
      <c r="D11" s="12" t="s">
        <v>98</v>
      </c>
    </row>
    <row r="12" customFormat="false" ht="15" hidden="false" customHeight="true" outlineLevel="0" collapsed="false">
      <c r="A12" s="22" t="s">
        <v>99</v>
      </c>
      <c r="B12" s="11" t="n">
        <v>0.259</v>
      </c>
      <c r="C12" s="11" t="n">
        <v>0.257</v>
      </c>
      <c r="D12" s="12" t="s">
        <v>100</v>
      </c>
    </row>
    <row r="13" customFormat="false" ht="15" hidden="false" customHeight="true" outlineLevel="0" collapsed="false">
      <c r="A13" s="22" t="s">
        <v>101</v>
      </c>
      <c r="B13" s="23" t="n">
        <v>24519</v>
      </c>
      <c r="C13" s="23" t="n">
        <v>23076</v>
      </c>
      <c r="D13" s="12" t="s">
        <v>102</v>
      </c>
    </row>
    <row r="14" customFormat="false" ht="15" hidden="false" customHeight="true" outlineLevel="0" collapsed="false">
      <c r="A14" s="22" t="s">
        <v>103</v>
      </c>
      <c r="B14" s="23" t="n">
        <v>2565</v>
      </c>
      <c r="C14" s="23" t="n">
        <v>2057</v>
      </c>
    </row>
    <row r="15" customFormat="false" ht="15" hidden="false" customHeight="true" outlineLevel="0" collapsed="false">
      <c r="A15" s="22" t="s">
        <v>104</v>
      </c>
      <c r="C15" s="23" t="n">
        <v>1655</v>
      </c>
      <c r="D15" s="12" t="s">
        <v>105</v>
      </c>
    </row>
    <row r="16" customFormat="false" ht="15" hidden="false" customHeight="true" outlineLevel="0" collapsed="false">
      <c r="A16" s="22" t="s">
        <v>106</v>
      </c>
      <c r="C16" s="25" t="n">
        <v>2179.5</v>
      </c>
      <c r="D16" s="12" t="s">
        <v>107</v>
      </c>
    </row>
    <row r="18" customFormat="false" ht="15" hidden="false" customHeight="true" outlineLevel="0" collapsed="false">
      <c r="A18" s="8" t="s">
        <v>108</v>
      </c>
      <c r="B18" s="8"/>
      <c r="C18" s="8"/>
      <c r="D18" s="8"/>
    </row>
    <row r="19" customFormat="false" ht="15" hidden="false" customHeight="true" outlineLevel="0" collapsed="false">
      <c r="A19" s="10" t="s">
        <v>109</v>
      </c>
      <c r="B19" s="26" t="n">
        <v>0.855</v>
      </c>
      <c r="D19" s="12" t="s">
        <v>110</v>
      </c>
    </row>
    <row r="20" customFormat="false" ht="15" hidden="false" customHeight="true" outlineLevel="0" collapsed="false">
      <c r="A20" s="10" t="s">
        <v>111</v>
      </c>
      <c r="B20" s="26" t="n">
        <v>0.869</v>
      </c>
      <c r="D20" s="12" t="s">
        <v>112</v>
      </c>
    </row>
  </sheetData>
  <mergeCells count="2">
    <mergeCell ref="A1:D1"/>
    <mergeCell ref="A18:D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6"/>
    <col collapsed="false" customWidth="true" hidden="false" outlineLevel="0" max="7" min="2" style="1" width="15"/>
  </cols>
  <sheetData>
    <row r="1" customFormat="false" ht="17.25" hidden="false" customHeight="true" outlineLevel="0" collapsed="false">
      <c r="A1" s="2" t="s">
        <v>113</v>
      </c>
      <c r="B1" s="2"/>
      <c r="C1" s="2"/>
      <c r="D1" s="2"/>
      <c r="E1" s="2"/>
      <c r="F1" s="2"/>
      <c r="G1" s="2"/>
    </row>
    <row r="2" customFormat="false" ht="15" hidden="false" customHeight="true" outlineLevel="0" collapsed="false">
      <c r="B2" s="9" t="s">
        <v>114</v>
      </c>
      <c r="C2" s="9" t="s">
        <v>23</v>
      </c>
      <c r="D2" s="9" t="s">
        <v>24</v>
      </c>
      <c r="E2" s="9" t="s">
        <v>25</v>
      </c>
      <c r="F2" s="9" t="s">
        <v>26</v>
      </c>
      <c r="G2" s="9" t="s">
        <v>27</v>
      </c>
    </row>
    <row r="3" customFormat="false" ht="15" hidden="false" customHeight="true" outlineLevel="0" collapsed="false">
      <c r="A3" s="8" t="s">
        <v>115</v>
      </c>
      <c r="B3" s="8"/>
      <c r="C3" s="8"/>
      <c r="D3" s="8"/>
      <c r="E3" s="8"/>
      <c r="F3" s="8"/>
      <c r="G3" s="8"/>
    </row>
    <row r="4" customFormat="false" ht="15" hidden="false" customHeight="true" outlineLevel="0" collapsed="false">
      <c r="A4" s="22" t="s">
        <v>116</v>
      </c>
      <c r="B4" s="27" t="n">
        <f aca="false">'FY25 Actuals EUR'!C4*'FY25 Actuals EUR'!B19</f>
        <v>43180.065</v>
      </c>
      <c r="C4" s="15" t="n">
        <f aca="false">B4*(1+Assumptions!B6)</f>
        <v>45123.167925</v>
      </c>
      <c r="D4" s="15" t="n">
        <f aca="false">C4*(1+Assumptions!C6)</f>
        <v>47289.0799854</v>
      </c>
      <c r="E4" s="15" t="n">
        <f aca="false">D4*(1+Assumptions!D6)</f>
        <v>49653.53398467</v>
      </c>
      <c r="F4" s="15" t="n">
        <f aca="false">E4*(1+Assumptions!E6)</f>
        <v>52136.2106839035</v>
      </c>
      <c r="G4" s="15" t="n">
        <f aca="false">F4*(1+Assumptions!F6)</f>
        <v>54743.0212180987</v>
      </c>
    </row>
    <row r="5" customFormat="false" ht="15" hidden="false" customHeight="true" outlineLevel="0" collapsed="false">
      <c r="A5" s="10" t="s">
        <v>29</v>
      </c>
      <c r="B5" s="28" t="s">
        <v>117</v>
      </c>
      <c r="C5" s="14" t="n">
        <f aca="false">C4/B4-1</f>
        <v>0.0449999999999999</v>
      </c>
      <c r="D5" s="14" t="n">
        <f aca="false">D4/C4-1</f>
        <v>0.048</v>
      </c>
      <c r="E5" s="14" t="n">
        <f aca="false">E4/D4-1</f>
        <v>0.05</v>
      </c>
      <c r="F5" s="14" t="n">
        <f aca="false">F4/E4-1</f>
        <v>0.05</v>
      </c>
      <c r="G5" s="14" t="n">
        <f aca="false">G4/F4-1</f>
        <v>0.05</v>
      </c>
    </row>
    <row r="7" customFormat="false" ht="15" hidden="false" customHeight="true" outlineLevel="0" collapsed="false">
      <c r="A7" s="8" t="s">
        <v>118</v>
      </c>
      <c r="B7" s="8"/>
      <c r="C7" s="8"/>
      <c r="D7" s="8"/>
      <c r="E7" s="8"/>
      <c r="F7" s="8"/>
      <c r="G7" s="8"/>
    </row>
    <row r="8" customFormat="false" ht="15" hidden="false" customHeight="true" outlineLevel="0" collapsed="false">
      <c r="A8" s="29" t="s">
        <v>119</v>
      </c>
      <c r="B8" s="27" t="n">
        <f aca="false">'FY25 Actuals EUR'!C5*'FY25 Actuals EUR'!B19</f>
        <v>7726.635</v>
      </c>
      <c r="C8" s="15" t="n">
        <f aca="false">C4*Assumptions!B7</f>
        <v>8077.047058575</v>
      </c>
      <c r="D8" s="15" t="n">
        <f aca="false">D4*Assumptions!C7</f>
        <v>8559.3234773574</v>
      </c>
      <c r="E8" s="15" t="n">
        <f aca="false">E4*Assumptions!D7</f>
        <v>9086.59671919461</v>
      </c>
      <c r="F8" s="15" t="n">
        <f aca="false">F4*Assumptions!E7</f>
        <v>9645.19897652215</v>
      </c>
      <c r="G8" s="15" t="n">
        <f aca="false">G4*Assumptions!F7</f>
        <v>10236.9449677845</v>
      </c>
    </row>
    <row r="9" customFormat="false" ht="15" hidden="false" customHeight="true" outlineLevel="0" collapsed="false">
      <c r="A9" s="10" t="s">
        <v>31</v>
      </c>
      <c r="B9" s="14" t="n">
        <f aca="false">B8/B4</f>
        <v>0.178939864958517</v>
      </c>
      <c r="C9" s="14" t="n">
        <f aca="false">C8/C4</f>
        <v>0.179</v>
      </c>
      <c r="D9" s="14" t="n">
        <f aca="false">D8/D4</f>
        <v>0.181</v>
      </c>
      <c r="E9" s="14" t="n">
        <f aca="false">E8/E4</f>
        <v>0.183</v>
      </c>
      <c r="F9" s="14" t="n">
        <f aca="false">F8/F4</f>
        <v>0.185</v>
      </c>
      <c r="G9" s="14" t="n">
        <f aca="false">G8/G4</f>
        <v>0.187</v>
      </c>
    </row>
    <row r="10" customFormat="false" ht="15" hidden="false" customHeight="true" outlineLevel="0" collapsed="false">
      <c r="A10" s="22" t="s">
        <v>120</v>
      </c>
      <c r="B10" s="15" t="n">
        <f aca="false">-B8*'FY25 Actuals EUR'!C12</f>
        <v>-1985.745195</v>
      </c>
      <c r="C10" s="15" t="n">
        <f aca="false">-C8*Assumptions!B8</f>
        <v>-2075.80109405378</v>
      </c>
      <c r="D10" s="15" t="n">
        <f aca="false">-D8*Assumptions!C8</f>
        <v>-2199.74613368085</v>
      </c>
      <c r="E10" s="15" t="n">
        <f aca="false">-E8*Assumptions!D8</f>
        <v>-2335.25535683302</v>
      </c>
      <c r="F10" s="15" t="n">
        <f aca="false">-F8*Assumptions!E8</f>
        <v>-2478.81613696619</v>
      </c>
      <c r="G10" s="15" t="n">
        <f aca="false">-G8*Assumptions!F8</f>
        <v>-2630.89485672061</v>
      </c>
    </row>
    <row r="11" customFormat="false" ht="15" hidden="false" customHeight="true" outlineLevel="0" collapsed="false">
      <c r="A11" s="29" t="s">
        <v>121</v>
      </c>
      <c r="B11" s="30" t="n">
        <f aca="false">B8+B10</f>
        <v>5740.889805</v>
      </c>
      <c r="C11" s="30" t="n">
        <f aca="false">C8+C10</f>
        <v>6001.24596452123</v>
      </c>
      <c r="D11" s="30" t="n">
        <f aca="false">D8+D10</f>
        <v>6359.57734367655</v>
      </c>
      <c r="E11" s="30" t="n">
        <f aca="false">E8+E10</f>
        <v>6751.3413623616</v>
      </c>
      <c r="F11" s="30" t="n">
        <f aca="false">F8+F10</f>
        <v>7166.38283955596</v>
      </c>
      <c r="G11" s="30" t="n">
        <f aca="false">G8+G10</f>
        <v>7606.05011106385</v>
      </c>
    </row>
    <row r="13" customFormat="false" ht="15" hidden="false" customHeight="true" outlineLevel="0" collapsed="false">
      <c r="A13" s="8" t="s">
        <v>122</v>
      </c>
      <c r="B13" s="8"/>
      <c r="C13" s="8"/>
      <c r="D13" s="8"/>
      <c r="E13" s="8"/>
      <c r="F13" s="8"/>
      <c r="G13" s="8"/>
    </row>
    <row r="14" customFormat="false" ht="15" hidden="false" customHeight="true" outlineLevel="0" collapsed="false">
      <c r="A14" s="22" t="s">
        <v>123</v>
      </c>
      <c r="B14" s="27" t="n">
        <f aca="false">'FY25 Actuals EUR'!C7*'FY25 Actuals EUR'!B19</f>
        <v>1120.05</v>
      </c>
      <c r="C14" s="15" t="n">
        <f aca="false">C4*Assumptions!B9</f>
        <v>1173.20236605</v>
      </c>
      <c r="D14" s="15" t="n">
        <f aca="false">D4*Assumptions!C9</f>
        <v>1229.5160796204</v>
      </c>
      <c r="E14" s="15" t="n">
        <f aca="false">E4*Assumptions!D9</f>
        <v>1290.99188360142</v>
      </c>
      <c r="F14" s="15" t="n">
        <f aca="false">F4*Assumptions!E9</f>
        <v>1355.54147778149</v>
      </c>
      <c r="G14" s="15" t="n">
        <f aca="false">G4*Assumptions!F9</f>
        <v>1423.31855167057</v>
      </c>
    </row>
    <row r="15" customFormat="false" ht="15" hidden="false" customHeight="true" outlineLevel="0" collapsed="false">
      <c r="A15" s="22" t="s">
        <v>124</v>
      </c>
      <c r="B15" s="27" t="n">
        <f aca="false">-'FY25 Actuals EUR'!C10*'FY25 Actuals EUR'!B19</f>
        <v>-1360.305</v>
      </c>
      <c r="C15" s="15" t="n">
        <f aca="false">-C4*Assumptions!B10</f>
        <v>-1421.518725</v>
      </c>
      <c r="D15" s="15" t="n">
        <f aca="false">-D4*Assumptions!C10</f>
        <v>-1489.7516238</v>
      </c>
      <c r="E15" s="15" t="n">
        <f aca="false">-E4*Assumptions!D10</f>
        <v>-1564.23920499</v>
      </c>
      <c r="F15" s="15" t="n">
        <f aca="false">-F4*Assumptions!E10</f>
        <v>-1642.4511652395</v>
      </c>
      <c r="G15" s="15" t="n">
        <f aca="false">-G4*Assumptions!F10</f>
        <v>-1724.57372350148</v>
      </c>
    </row>
    <row r="16" customFormat="false" ht="15" hidden="false" customHeight="true" outlineLevel="0" collapsed="false">
      <c r="A16" s="22" t="s">
        <v>125</v>
      </c>
      <c r="B16" s="27" t="n">
        <f aca="false">'FY25 Actuals EUR'!C11*'FY25 Actuals EUR'!B19</f>
        <v>99.18</v>
      </c>
      <c r="C16" s="15" t="n">
        <f aca="false">C4*Assumptions!B11</f>
        <v>135.369503775</v>
      </c>
      <c r="D16" s="15" t="n">
        <f aca="false">D4*Assumptions!C11</f>
        <v>141.8672399562</v>
      </c>
      <c r="E16" s="15" t="n">
        <f aca="false">E4*Assumptions!D11</f>
        <v>148.96060195401</v>
      </c>
      <c r="F16" s="15" t="n">
        <f aca="false">F4*Assumptions!E11</f>
        <v>156.408632051711</v>
      </c>
      <c r="G16" s="15" t="n">
        <f aca="false">G4*Assumptions!F11</f>
        <v>164.229063654296</v>
      </c>
    </row>
    <row r="17" customFormat="false" ht="15" hidden="false" customHeight="true" outlineLevel="0" collapsed="false">
      <c r="A17" s="4" t="s">
        <v>126</v>
      </c>
      <c r="B17" s="31" t="n">
        <f aca="false">B11+B14+B15+B16</f>
        <v>5599.814805</v>
      </c>
      <c r="C17" s="31" t="n">
        <f aca="false">C11+C14+C15+C16</f>
        <v>5888.29910934623</v>
      </c>
      <c r="D17" s="31" t="n">
        <f aca="false">D11+D14+D15+D16</f>
        <v>6241.20903945315</v>
      </c>
      <c r="E17" s="31" t="n">
        <f aca="false">E11+E14+E15+E16</f>
        <v>6627.05464292703</v>
      </c>
      <c r="F17" s="31" t="n">
        <f aca="false">F11+F14+F15+F16</f>
        <v>7035.88178414966</v>
      </c>
      <c r="G17" s="31" t="n">
        <f aca="false">G11+G14+G15+G16</f>
        <v>7469.02400288724</v>
      </c>
    </row>
    <row r="18" customFormat="false" ht="15" hidden="false" customHeight="true" outlineLevel="0" collapsed="false">
      <c r="A18" s="29" t="s">
        <v>127</v>
      </c>
      <c r="B18" s="15" t="n">
        <f aca="false">B8+B14</f>
        <v>8846.685</v>
      </c>
      <c r="C18" s="15" t="n">
        <f aca="false">C8+C14</f>
        <v>9250.249424625</v>
      </c>
      <c r="D18" s="15" t="n">
        <f aca="false">D8+D14</f>
        <v>9788.8395569778</v>
      </c>
      <c r="E18" s="15" t="n">
        <f aca="false">E8+E14</f>
        <v>10377.588602796</v>
      </c>
      <c r="F18" s="15" t="n">
        <f aca="false">F8+F14</f>
        <v>11000.7404543036</v>
      </c>
      <c r="G18" s="15" t="n">
        <f aca="false">G8+G14</f>
        <v>11660.263519455</v>
      </c>
    </row>
    <row r="20" customFormat="false" ht="15" hidden="false" customHeight="true" outlineLevel="0" collapsed="false">
      <c r="A20" s="32" t="s">
        <v>128</v>
      </c>
      <c r="B20" s="32"/>
      <c r="C20" s="32"/>
      <c r="D20" s="32"/>
      <c r="E20" s="32"/>
      <c r="F20" s="32"/>
      <c r="G20" s="32"/>
    </row>
    <row r="21" customFormat="false" ht="15" hidden="false" customHeight="true" outlineLevel="0" collapsed="false">
      <c r="A21" s="32"/>
      <c r="B21" s="32"/>
      <c r="C21" s="32"/>
      <c r="D21" s="32"/>
      <c r="E21" s="32"/>
      <c r="F21" s="32"/>
      <c r="G21" s="32"/>
    </row>
  </sheetData>
  <mergeCells count="5">
    <mergeCell ref="A1:G1"/>
    <mergeCell ref="A3:G3"/>
    <mergeCell ref="A7:G7"/>
    <mergeCell ref="A13:G13"/>
    <mergeCell ref="A20:G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52"/>
    <col collapsed="false" customWidth="true" hidden="false" outlineLevel="0" max="6" min="2" style="1" width="15"/>
    <col collapsed="false" customWidth="true" hidden="false" outlineLevel="0" max="7" min="7" style="1" width="70"/>
  </cols>
  <sheetData>
    <row r="1" customFormat="false" ht="17.25" hidden="false" customHeight="true" outlineLevel="0" collapsed="false">
      <c r="A1" s="2" t="s">
        <v>129</v>
      </c>
      <c r="B1" s="2"/>
      <c r="C1" s="2"/>
      <c r="D1" s="2"/>
      <c r="E1" s="2"/>
      <c r="F1" s="2"/>
      <c r="G1" s="2"/>
    </row>
    <row r="2" customFormat="false" ht="15" hidden="false" customHeight="true" outlineLevel="0" collapsed="false">
      <c r="B2" s="9" t="s">
        <v>23</v>
      </c>
      <c r="C2" s="9" t="s">
        <v>24</v>
      </c>
      <c r="D2" s="9" t="s">
        <v>25</v>
      </c>
      <c r="E2" s="9" t="s">
        <v>26</v>
      </c>
      <c r="F2" s="9" t="s">
        <v>27</v>
      </c>
    </row>
    <row r="3" customFormat="false" ht="15" hidden="false" customHeight="true" outlineLevel="0" collapsed="false">
      <c r="A3" s="8" t="s">
        <v>130</v>
      </c>
      <c r="B3" s="8"/>
      <c r="C3" s="8"/>
      <c r="D3" s="8"/>
      <c r="E3" s="8"/>
      <c r="F3" s="8"/>
      <c r="G3" s="8"/>
    </row>
    <row r="4" customFormat="false" ht="15" hidden="false" customHeight="true" outlineLevel="0" collapsed="false">
      <c r="A4" s="22" t="s">
        <v>131</v>
      </c>
      <c r="B4" s="27" t="n">
        <f aca="false">'Income Statement &amp; FCF'!C17</f>
        <v>5888.29910934623</v>
      </c>
      <c r="C4" s="27" t="n">
        <f aca="false">'Income Statement &amp; FCF'!D17</f>
        <v>6241.20903945315</v>
      </c>
      <c r="D4" s="27" t="n">
        <f aca="false">'Income Statement &amp; FCF'!E17</f>
        <v>6627.05464292703</v>
      </c>
      <c r="E4" s="27" t="n">
        <f aca="false">'Income Statement &amp; FCF'!F17</f>
        <v>7035.88178414966</v>
      </c>
      <c r="F4" s="27" t="n">
        <f aca="false">'Income Statement &amp; FCF'!G17</f>
        <v>7469.02400288724</v>
      </c>
    </row>
    <row r="5" customFormat="false" ht="15" hidden="false" customHeight="true" outlineLevel="0" collapsed="false">
      <c r="A5" s="22" t="s">
        <v>132</v>
      </c>
      <c r="B5" s="33" t="n">
        <v>1</v>
      </c>
      <c r="C5" s="33" t="n">
        <v>2</v>
      </c>
      <c r="D5" s="33" t="n">
        <v>3</v>
      </c>
      <c r="E5" s="33" t="n">
        <v>4</v>
      </c>
      <c r="F5" s="33" t="n">
        <v>5</v>
      </c>
    </row>
    <row r="6" customFormat="false" ht="15" hidden="false" customHeight="true" outlineLevel="0" collapsed="false">
      <c r="A6" s="22" t="s">
        <v>133</v>
      </c>
      <c r="B6" s="34" t="n">
        <f aca="false">1/(1+Assumptions!$B$25)^B5</f>
        <v>0.924214417744917</v>
      </c>
      <c r="C6" s="34" t="n">
        <f aca="false">1/(1+Assumptions!$B$25)^C5</f>
        <v>0.854172289967576</v>
      </c>
      <c r="D6" s="34" t="n">
        <f aca="false">1/(1+Assumptions!$B$25)^D5</f>
        <v>0.789438345626225</v>
      </c>
      <c r="E6" s="34" t="n">
        <f aca="false">1/(1+Assumptions!$B$25)^E5</f>
        <v>0.729610300948452</v>
      </c>
      <c r="F6" s="34" t="n">
        <f aca="false">1/(1+Assumptions!$B$25)^F5</f>
        <v>0.674316359471767</v>
      </c>
    </row>
    <row r="7" customFormat="false" ht="15" hidden="false" customHeight="true" outlineLevel="0" collapsed="false">
      <c r="A7" s="4" t="s">
        <v>134</v>
      </c>
      <c r="B7" s="15" t="n">
        <f aca="false">B4*B6</f>
        <v>5442.05093285233</v>
      </c>
      <c r="C7" s="15" t="n">
        <f aca="false">C4*C6</f>
        <v>5331.06781739603</v>
      </c>
      <c r="D7" s="15" t="n">
        <f aca="false">D4*D6</f>
        <v>5231.65105368691</v>
      </c>
      <c r="E7" s="15" t="n">
        <f aca="false">E4*E6</f>
        <v>5133.45182597116</v>
      </c>
      <c r="F7" s="15" t="n">
        <f aca="false">F4*F6</f>
        <v>5036.48507443417</v>
      </c>
    </row>
    <row r="9" customFormat="false" ht="15" hidden="false" customHeight="true" outlineLevel="0" collapsed="false">
      <c r="A9" s="8" t="s">
        <v>135</v>
      </c>
      <c r="B9" s="8"/>
      <c r="C9" s="8"/>
      <c r="D9" s="8"/>
      <c r="E9" s="8"/>
      <c r="F9" s="8"/>
      <c r="G9" s="8"/>
    </row>
    <row r="10" customFormat="false" ht="15" hidden="false" customHeight="true" outlineLevel="0" collapsed="false">
      <c r="A10" s="22" t="s">
        <v>136</v>
      </c>
      <c r="B10" s="15" t="n">
        <f aca="false">F4</f>
        <v>7469.02400288724</v>
      </c>
    </row>
    <row r="11" customFormat="false" ht="15" hidden="false" customHeight="true" outlineLevel="0" collapsed="false">
      <c r="A11" s="10" t="s">
        <v>137</v>
      </c>
      <c r="B11" s="14" t="n">
        <f aca="false">Assumptions!B28</f>
        <v>0.025</v>
      </c>
    </row>
    <row r="12" customFormat="false" ht="15" hidden="false" customHeight="true" outlineLevel="0" collapsed="false">
      <c r="A12" s="22" t="s">
        <v>138</v>
      </c>
      <c r="B12" s="14" t="n">
        <f aca="false">Assumptions!B25</f>
        <v>0.082</v>
      </c>
    </row>
    <row r="13" customFormat="false" ht="15" hidden="false" customHeight="true" outlineLevel="0" collapsed="false">
      <c r="A13" s="10" t="s">
        <v>139</v>
      </c>
      <c r="B13" s="30" t="n">
        <f aca="false">B10*(1+B11)/(B12-B11)</f>
        <v>134311.396543148</v>
      </c>
    </row>
    <row r="14" customFormat="false" ht="15" hidden="false" customHeight="true" outlineLevel="0" collapsed="false">
      <c r="A14" s="22" t="s">
        <v>140</v>
      </c>
      <c r="B14" s="30" t="n">
        <f aca="false">B13/(1+B12)^F5</f>
        <v>90568.3719525442</v>
      </c>
    </row>
    <row r="15" customFormat="false" ht="15" hidden="false" customHeight="true" outlineLevel="0" collapsed="false">
      <c r="A15" s="10" t="s">
        <v>141</v>
      </c>
      <c r="B15" s="14" t="n">
        <f aca="false">B14/B21</f>
        <v>0.775792218215611</v>
      </c>
    </row>
    <row r="16" customFormat="false" ht="15" hidden="false" customHeight="true" outlineLevel="0" collapsed="false">
      <c r="A16" s="22" t="s">
        <v>142</v>
      </c>
      <c r="B16" s="35" t="n">
        <f aca="false">B13/'Income Statement &amp; FCF'!G18</f>
        <v>11.5187273700162</v>
      </c>
    </row>
    <row r="18" customFormat="false" ht="15" hidden="false" customHeight="true" outlineLevel="0" collapsed="false">
      <c r="A18" s="8" t="s">
        <v>143</v>
      </c>
      <c r="B18" s="8"/>
      <c r="C18" s="8"/>
      <c r="D18" s="8"/>
      <c r="E18" s="8"/>
      <c r="F18" s="8"/>
      <c r="G18" s="8"/>
    </row>
    <row r="19" customFormat="false" ht="15" hidden="false" customHeight="true" outlineLevel="0" collapsed="false">
      <c r="A19" s="22" t="s">
        <v>144</v>
      </c>
      <c r="B19" s="15" t="n">
        <f aca="false">SUM(B7:F7)</f>
        <v>26174.7067043406</v>
      </c>
    </row>
    <row r="20" customFormat="false" ht="15" hidden="false" customHeight="true" outlineLevel="0" collapsed="false">
      <c r="A20" s="22" t="s">
        <v>140</v>
      </c>
      <c r="B20" s="15" t="n">
        <f aca="false">B14</f>
        <v>90568.3719525442</v>
      </c>
    </row>
    <row r="21" customFormat="false" ht="15" hidden="false" customHeight="true" outlineLevel="0" collapsed="false">
      <c r="A21" s="4" t="s">
        <v>145</v>
      </c>
      <c r="B21" s="30" t="n">
        <f aca="false">B19+B20</f>
        <v>116743.078656885</v>
      </c>
    </row>
    <row r="22" customFormat="false" ht="15" hidden="false" customHeight="true" outlineLevel="0" collapsed="false">
      <c r="A22" s="22" t="s">
        <v>146</v>
      </c>
      <c r="B22" s="15" t="n">
        <f aca="false">-Assumptions!B23</f>
        <v>-20053.044</v>
      </c>
    </row>
    <row r="23" customFormat="false" ht="15" hidden="false" customHeight="true" outlineLevel="0" collapsed="false">
      <c r="A23" s="22" t="s">
        <v>147</v>
      </c>
      <c r="B23" s="15" t="n">
        <f aca="false">-Assumptions!B31</f>
        <v>-1787.533</v>
      </c>
    </row>
    <row r="24" customFormat="false" ht="15" hidden="false" customHeight="true" outlineLevel="0" collapsed="false">
      <c r="A24" s="22" t="s">
        <v>148</v>
      </c>
      <c r="B24" s="15" t="n">
        <f aca="false">Assumptions!B32</f>
        <v>1438.195</v>
      </c>
    </row>
    <row r="25" customFormat="false" ht="15" hidden="false" customHeight="true" outlineLevel="0" collapsed="false">
      <c r="A25" s="4" t="s">
        <v>149</v>
      </c>
      <c r="B25" s="30" t="n">
        <f aca="false">SUM(B21:B24)</f>
        <v>96340.6966568848</v>
      </c>
    </row>
    <row r="26" customFormat="false" ht="15" hidden="false" customHeight="true" outlineLevel="0" collapsed="false">
      <c r="A26" s="22" t="s">
        <v>76</v>
      </c>
      <c r="B26" s="36" t="n">
        <f aca="false">Assumptions!B35</f>
        <v>2179.5</v>
      </c>
    </row>
    <row r="27" customFormat="false" ht="21.75" hidden="false" customHeight="true" outlineLevel="0" collapsed="false">
      <c r="A27" s="29" t="s">
        <v>150</v>
      </c>
      <c r="B27" s="37" t="n">
        <f aca="false">B25/B26</f>
        <v>44.2031184477563</v>
      </c>
      <c r="G27" s="12" t="s">
        <v>151</v>
      </c>
    </row>
    <row r="28" customFormat="false" ht="15" hidden="false" customHeight="true" outlineLevel="0" collapsed="false">
      <c r="A28" s="22" t="s">
        <v>77</v>
      </c>
      <c r="B28" s="38" t="n">
        <f aca="false">Assumptions!B36</f>
        <v>46.23</v>
      </c>
    </row>
    <row r="29" customFormat="false" ht="15" hidden="false" customHeight="true" outlineLevel="0" collapsed="false">
      <c r="A29" s="22" t="s">
        <v>152</v>
      </c>
      <c r="B29" s="14" t="n">
        <f aca="false">B27/B28-1</f>
        <v>-0.0438434253135135</v>
      </c>
    </row>
    <row r="31" customFormat="false" ht="15" hidden="false" customHeight="true" outlineLevel="0" collapsed="false">
      <c r="A31" s="8" t="s">
        <v>153</v>
      </c>
      <c r="B31" s="8"/>
      <c r="C31" s="8"/>
      <c r="D31" s="8"/>
      <c r="E31" s="8"/>
      <c r="F31" s="8"/>
      <c r="G31" s="8"/>
    </row>
    <row r="32" customFormat="false" ht="15" hidden="false" customHeight="true" outlineLevel="0" collapsed="false">
      <c r="A32" s="10" t="s">
        <v>154</v>
      </c>
      <c r="B32" s="15" t="n">
        <f aca="false">'Income Statement &amp; FCF'!G18</f>
        <v>11660.263519455</v>
      </c>
    </row>
    <row r="33" customFormat="false" ht="15" hidden="false" customHeight="true" outlineLevel="0" collapsed="false">
      <c r="A33" s="22" t="s">
        <v>67</v>
      </c>
      <c r="B33" s="35" t="n">
        <f aca="false">Assumptions!B29</f>
        <v>12</v>
      </c>
    </row>
    <row r="34" customFormat="false" ht="15" hidden="false" customHeight="true" outlineLevel="0" collapsed="false">
      <c r="A34" s="10" t="s">
        <v>155</v>
      </c>
      <c r="B34" s="15" t="n">
        <f aca="false">B32*B33</f>
        <v>139923.16223346</v>
      </c>
    </row>
    <row r="35" customFormat="false" ht="15" hidden="false" customHeight="true" outlineLevel="0" collapsed="false">
      <c r="A35" s="22" t="s">
        <v>140</v>
      </c>
      <c r="B35" s="15" t="n">
        <f aca="false">B34/(1+B12)^F5</f>
        <v>94352.4773630443</v>
      </c>
    </row>
    <row r="36" customFormat="false" ht="15" hidden="false" customHeight="true" outlineLevel="0" collapsed="false">
      <c r="A36" s="10" t="s">
        <v>145</v>
      </c>
      <c r="B36" s="15" t="n">
        <f aca="false">B19+B35</f>
        <v>120527.184067385</v>
      </c>
    </row>
    <row r="37" customFormat="false" ht="15" hidden="false" customHeight="true" outlineLevel="0" collapsed="false">
      <c r="A37" s="22" t="s">
        <v>149</v>
      </c>
      <c r="B37" s="15" t="n">
        <f aca="false">B36+B22+B23+B24</f>
        <v>100124.802067385</v>
      </c>
    </row>
    <row r="38" customFormat="false" ht="15" hidden="false" customHeight="true" outlineLevel="0" collapsed="false">
      <c r="A38" s="4" t="s">
        <v>150</v>
      </c>
      <c r="B38" s="37" t="n">
        <f aca="false">B37/B26</f>
        <v>45.9393448347717</v>
      </c>
    </row>
    <row r="39" customFormat="false" ht="21.75" hidden="false" customHeight="true" outlineLevel="0" collapsed="false">
      <c r="A39" s="22" t="s">
        <v>156</v>
      </c>
      <c r="B39" s="14" t="n">
        <f aca="false">B38/B27-1</f>
        <v>0.0392783687663914</v>
      </c>
      <c r="G39" s="12" t="s">
        <v>157</v>
      </c>
    </row>
    <row r="40" customFormat="false" ht="15" hidden="false" customHeight="true" outlineLevel="0" collapsed="false">
      <c r="A40" s="10" t="s">
        <v>158</v>
      </c>
      <c r="B40" s="14" t="n">
        <f aca="false">(B34*B12-F4)/(B34+F4)</f>
        <v>0.0271702008262154</v>
      </c>
    </row>
    <row r="41" customFormat="false" ht="15" hidden="false" customHeight="true" outlineLevel="0" collapsed="false">
      <c r="A41" s="22" t="s">
        <v>141</v>
      </c>
      <c r="B41" s="14" t="n">
        <f aca="false">B35/B36</f>
        <v>0.782831508867687</v>
      </c>
    </row>
  </sheetData>
  <mergeCells count="5">
    <mergeCell ref="A1:G1"/>
    <mergeCell ref="A3:G3"/>
    <mergeCell ref="A9:G9"/>
    <mergeCell ref="A18:G18"/>
    <mergeCell ref="A31:G3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23"/>
    <col collapsed="false" customWidth="true" hidden="false" outlineLevel="0" max="6" min="2" style="1" width="15"/>
  </cols>
  <sheetData>
    <row r="1" customFormat="false" ht="17.25" hidden="false" customHeight="true" outlineLevel="0" collapsed="false">
      <c r="A1" s="2" t="s">
        <v>159</v>
      </c>
      <c r="B1" s="2"/>
      <c r="C1" s="2"/>
      <c r="D1" s="2"/>
      <c r="E1" s="2"/>
      <c r="F1" s="2"/>
    </row>
    <row r="3" customFormat="false" ht="15" hidden="false" customHeight="true" outlineLevel="0" collapsed="false">
      <c r="A3" s="8" t="s">
        <v>160</v>
      </c>
      <c r="B3" s="8"/>
      <c r="C3" s="8"/>
      <c r="D3" s="8"/>
      <c r="E3" s="8"/>
      <c r="F3" s="8"/>
    </row>
    <row r="4" customFormat="false" ht="15" hidden="false" customHeight="true" outlineLevel="0" collapsed="false">
      <c r="A4" s="4" t="s">
        <v>161</v>
      </c>
      <c r="B4" s="39" t="n">
        <f aca="false">Assumptions!$B$28+(0-2)*0.005</f>
        <v>0.015</v>
      </c>
      <c r="C4" s="39" t="n">
        <f aca="false">Assumptions!$B$28+(1-2)*0.005</f>
        <v>0.02</v>
      </c>
      <c r="D4" s="39" t="n">
        <f aca="false">Assumptions!$B$28+(2-2)*0.005</f>
        <v>0.025</v>
      </c>
      <c r="E4" s="39" t="n">
        <f aca="false">Assumptions!$B$28+(3-2)*0.005</f>
        <v>0.03</v>
      </c>
      <c r="F4" s="39" t="n">
        <f aca="false">Assumptions!$B$28+(4-2)*0.005</f>
        <v>0.035</v>
      </c>
    </row>
    <row r="5" customFormat="false" ht="15" hidden="false" customHeight="true" outlineLevel="0" collapsed="false">
      <c r="A5" s="39" t="n">
        <f aca="false">Assumptions!$B$25+(0-3)*0.005</f>
        <v>0.067</v>
      </c>
      <c r="B5" s="38" t="n">
        <f aca="false">(SUMPRODUCT('DCF Valuation'!$B$4:$F$4/(1+$A5)^'DCF Valuation'!$B$5:$F$5)+'DCF Valuation'!$F$4*(1+B$4)/($A5-B$4)/(1+$A5)^'DCF Valuation'!$F$5-Assumptions!$B$23-Assumptions!$B$31+Assumptions!$B$32)/Assumptions!$B$35</f>
        <v>51.5246382054798</v>
      </c>
      <c r="C5" s="38" t="n">
        <f aca="false">(SUMPRODUCT('DCF Valuation'!$B$4:$F$4/(1+$A5)^'DCF Valuation'!$B$5:$F$5)+'DCF Valuation'!$F$4*(1+C$4)/($A5-C$4)/(1+$A5)^'DCF Valuation'!$F$5-Assumptions!$B$23-Assumptions!$B$31+Assumptions!$B$32)/Assumptions!$B$35</f>
        <v>56.933652221832</v>
      </c>
      <c r="D5" s="38" t="n">
        <f aca="false">(SUMPRODUCT('DCF Valuation'!$B$4:$F$4/(1+$A5)^'DCF Valuation'!$B$5:$F$5)+'DCF Valuation'!$F$4*(1+D$4)/($A5-D$4)/(1+$A5)^'DCF Valuation'!$F$5-Assumptions!$B$23-Assumptions!$B$31+Assumptions!$B$32)/Assumptions!$B$35</f>
        <v>63.630526718268</v>
      </c>
      <c r="E5" s="38" t="n">
        <f aca="false">(SUMPRODUCT('DCF Valuation'!$B$4:$F$4/(1+$A5)^'DCF Valuation'!$B$5:$F$5)+'DCF Valuation'!$F$4*(1+E$4)/($A5-E$4)/(1+$A5)^'DCF Valuation'!$F$5-Assumptions!$B$23-Assumptions!$B$31+Assumptions!$B$32)/Assumptions!$B$35</f>
        <v>72.1373672948219</v>
      </c>
      <c r="F5" s="38" t="n">
        <f aca="false">(SUMPRODUCT('DCF Valuation'!$B$4:$F$4/(1+$A5)^'DCF Valuation'!$B$5:$F$5)+'DCF Valuation'!$F$4*(1+F$4)/($A5-F$4)/(1+$A5)^'DCF Valuation'!$F$5-Assumptions!$B$23-Assumptions!$B$31+Assumptions!$B$32)/Assumptions!$B$35</f>
        <v>83.3025955515488</v>
      </c>
    </row>
    <row r="6" customFormat="false" ht="15" hidden="false" customHeight="true" outlineLevel="0" collapsed="false">
      <c r="A6" s="39" t="n">
        <f aca="false">Assumptions!$B$25+(1-3)*0.005</f>
        <v>0.072</v>
      </c>
      <c r="B6" s="38" t="n">
        <f aca="false">(SUMPRODUCT('DCF Valuation'!$B$4:$F$4/(1+$A6)^'DCF Valuation'!$B$5:$F$5)+'DCF Valuation'!$F$4*(1+B$4)/($A6-B$4)/(1+$A6)^'DCF Valuation'!$F$5-Assumptions!$B$23-Assumptions!$B$31+Assumptions!$B$32)/Assumptions!$B$35</f>
        <v>46.0890024007221</v>
      </c>
      <c r="C6" s="38" t="n">
        <f aca="false">(SUMPRODUCT('DCF Valuation'!$B$4:$F$4/(1+$A6)^'DCF Valuation'!$B$5:$F$5)+'DCF Valuation'!$F$4*(1+C$4)/($A6-C$4)/(1+$A6)^'DCF Valuation'!$F$5-Assumptions!$B$23-Assumptions!$B$31+Assumptions!$B$32)/Assumptions!$B$35</f>
        <v>50.4664367893594</v>
      </c>
      <c r="D6" s="38" t="n">
        <f aca="false">(SUMPRODUCT('DCF Valuation'!$B$4:$F$4/(1+$A6)^'DCF Valuation'!$B$5:$F$5)+'DCF Valuation'!$F$4*(1+D$4)/($A6-D$4)/(1+$A6)^'DCF Valuation'!$F$5-Assumptions!$B$23-Assumptions!$B$31+Assumptions!$B$32)/Assumptions!$B$35</f>
        <v>55.7752401968558</v>
      </c>
      <c r="E6" s="38" t="n">
        <f aca="false">(SUMPRODUCT('DCF Valuation'!$B$4:$F$4/(1+$A6)^'DCF Valuation'!$B$5:$F$5)+'DCF Valuation'!$F$4*(1+E$4)/($A6-E$4)/(1+$A6)^'DCF Valuation'!$F$5-Assumptions!$B$23-Assumptions!$B$31+Assumptions!$B$32)/Assumptions!$B$35</f>
        <v>62.3480444156607</v>
      </c>
      <c r="F6" s="38" t="n">
        <f aca="false">(SUMPRODUCT('DCF Valuation'!$B$4:$F$4/(1+$A6)^'DCF Valuation'!$B$5:$F$5)+'DCF Valuation'!$F$4*(1+F$4)/($A6-F$4)/(1+$A6)^'DCF Valuation'!$F$5-Assumptions!$B$23-Assumptions!$B$31+Assumptions!$B$32)/Assumptions!$B$35</f>
        <v>70.6972822071157</v>
      </c>
    </row>
    <row r="7" customFormat="false" ht="15" hidden="false" customHeight="true" outlineLevel="0" collapsed="false">
      <c r="A7" s="39" t="n">
        <f aca="false">Assumptions!$B$25+(2-3)*0.005</f>
        <v>0.077</v>
      </c>
      <c r="B7" s="38" t="n">
        <f aca="false">(SUMPRODUCT('DCF Valuation'!$B$4:$F$4/(1+$A7)^'DCF Valuation'!$B$5:$F$5)+'DCF Valuation'!$F$4*(1+B$4)/($A7-B$4)/(1+$A7)^'DCF Valuation'!$F$5-Assumptions!$B$23-Assumptions!$B$31+Assumptions!$B$32)/Assumptions!$B$35</f>
        <v>41.5316912130012</v>
      </c>
      <c r="C7" s="38" t="n">
        <f aca="false">(SUMPRODUCT('DCF Valuation'!$B$4:$F$4/(1+$A7)^'DCF Valuation'!$B$5:$F$5)+'DCF Valuation'!$F$4*(1+C$4)/($A7-C$4)/(1+$A7)^'DCF Valuation'!$F$5-Assumptions!$B$23-Assumptions!$B$31+Assumptions!$B$32)/Assumptions!$B$35</f>
        <v>45.1353828983499</v>
      </c>
      <c r="D7" s="38" t="n">
        <f aca="false">(SUMPRODUCT('DCF Valuation'!$B$4:$F$4/(1+$A7)^'DCF Valuation'!$B$5:$F$5)+'DCF Valuation'!$F$4*(1+D$4)/($A7-D$4)/(1+$A7)^'DCF Valuation'!$F$5-Assumptions!$B$23-Assumptions!$B$31+Assumptions!$B$32)/Assumptions!$B$35</f>
        <v>49.4320922154963</v>
      </c>
      <c r="E7" s="38" t="n">
        <f aca="false">(SUMPRODUCT('DCF Valuation'!$B$4:$F$4/(1+$A7)^'DCF Valuation'!$B$5:$F$5)+'DCF Valuation'!$F$4*(1+E$4)/($A7-E$4)/(1+$A7)^'DCF Valuation'!$F$5-Assumptions!$B$23-Assumptions!$B$31+Assumptions!$B$32)/Assumptions!$B$35</f>
        <v>54.642995004376</v>
      </c>
      <c r="F7" s="38" t="n">
        <f aca="false">(SUMPRODUCT('DCF Valuation'!$B$4:$F$4/(1+$A7)^'DCF Valuation'!$B$5:$F$5)+'DCF Valuation'!$F$4*(1+F$4)/($A7-F$4)/(1+$A7)^'DCF Valuation'!$F$5-Assumptions!$B$23-Assumptions!$B$31+Assumptions!$B$32)/Assumptions!$B$35</f>
        <v>61.0945889334652</v>
      </c>
    </row>
    <row r="8" customFormat="false" ht="15" hidden="false" customHeight="true" outlineLevel="0" collapsed="false">
      <c r="A8" s="39" t="n">
        <f aca="false">Assumptions!$B$25+(3-3)*0.005</f>
        <v>0.082</v>
      </c>
      <c r="B8" s="38" t="n">
        <f aca="false">(SUMPRODUCT('DCF Valuation'!$B$4:$F$4/(1+$A8)^'DCF Valuation'!$B$5:$F$5)+'DCF Valuation'!$F$4*(1+B$4)/($A8-B$4)/(1+$A8)^'DCF Valuation'!$F$5-Assumptions!$B$23-Assumptions!$B$31+Assumptions!$B$32)/Assumptions!$B$35</f>
        <v>37.6560289107902</v>
      </c>
      <c r="C8" s="38" t="n">
        <f aca="false">(SUMPRODUCT('DCF Valuation'!$B$4:$F$4/(1+$A8)^'DCF Valuation'!$B$5:$F$5)+'DCF Valuation'!$F$4*(1+C$4)/($A8-C$4)/(1+$A8)^'DCF Valuation'!$F$5-Assumptions!$B$23-Assumptions!$B$31+Assumptions!$B$32)/Assumptions!$B$35</f>
        <v>40.6655781334278</v>
      </c>
      <c r="D8" s="38" t="n">
        <f aca="false">(SUMPRODUCT('DCF Valuation'!$B$4:$F$4/(1+$A8)^'DCF Valuation'!$B$5:$F$5)+'DCF Valuation'!$F$4*(1+D$4)/($A8-D$4)/(1+$A8)^'DCF Valuation'!$F$5-Assumptions!$B$23-Assumptions!$B$31+Assumptions!$B$32)/Assumptions!$B$35</f>
        <v>44.2031184477563</v>
      </c>
      <c r="E8" s="38" t="n">
        <f aca="false">(SUMPRODUCT('DCF Valuation'!$B$4:$F$4/(1+$A8)^'DCF Valuation'!$B$5:$F$5)+'DCF Valuation'!$F$4*(1+E$4)/($A8-E$4)/(1+$A8)^'DCF Valuation'!$F$5-Assumptions!$B$23-Assumptions!$B$31+Assumptions!$B$32)/Assumptions!$B$35</f>
        <v>48.4209549763787</v>
      </c>
      <c r="F8" s="38" t="n">
        <f aca="false">(SUMPRODUCT('DCF Valuation'!$B$4:$F$4/(1+$A8)^'DCF Valuation'!$B$5:$F$5)+'DCF Valuation'!$F$4*(1+F$4)/($A8-F$4)/(1+$A8)^'DCF Valuation'!$F$5-Assumptions!$B$23-Assumptions!$B$31+Assumptions!$B$32)/Assumptions!$B$35</f>
        <v>53.5362035323676</v>
      </c>
    </row>
    <row r="9" customFormat="false" ht="15" hidden="false" customHeight="true" outlineLevel="0" collapsed="false">
      <c r="A9" s="39" t="n">
        <f aca="false">Assumptions!$B$25+(4-3)*0.005</f>
        <v>0.087</v>
      </c>
      <c r="B9" s="38" t="n">
        <f aca="false">(SUMPRODUCT('DCF Valuation'!$B$4:$F$4/(1+$A9)^'DCF Valuation'!$B$5:$F$5)+'DCF Valuation'!$F$4*(1+B$4)/($A9-B$4)/(1+$A9)^'DCF Valuation'!$F$5-Assumptions!$B$23-Assumptions!$B$31+Assumptions!$B$32)/Assumptions!$B$35</f>
        <v>34.3199728868105</v>
      </c>
      <c r="C9" s="38" t="n">
        <f aca="false">(SUMPRODUCT('DCF Valuation'!$B$4:$F$4/(1+$A9)^'DCF Valuation'!$B$5:$F$5)+'DCF Valuation'!$F$4*(1+C$4)/($A9-C$4)/(1+$A9)^'DCF Valuation'!$F$5-Assumptions!$B$23-Assumptions!$B$31+Assumptions!$B$32)/Assumptions!$B$35</f>
        <v>36.8641744236465</v>
      </c>
      <c r="D9" s="38" t="n">
        <f aca="false">(SUMPRODUCT('DCF Valuation'!$B$4:$F$4/(1+$A9)^'DCF Valuation'!$B$5:$F$5)+'DCF Valuation'!$F$4*(1+D$4)/($A9-D$4)/(1+$A9)^'DCF Valuation'!$F$5-Assumptions!$B$23-Assumptions!$B$31+Assumptions!$B$32)/Assumptions!$B$35</f>
        <v>39.818731047069</v>
      </c>
      <c r="E9" s="38" t="n">
        <f aca="false">(SUMPRODUCT('DCF Valuation'!$B$4:$F$4/(1+$A9)^'DCF Valuation'!$B$5:$F$5)+'DCF Valuation'!$F$4*(1+E$4)/($A9-E$4)/(1+$A9)^'DCF Valuation'!$F$5-Assumptions!$B$23-Assumptions!$B$31+Assumptions!$B$32)/Assumptions!$B$35</f>
        <v>43.2916309377586</v>
      </c>
      <c r="F9" s="38" t="n">
        <f aca="false">(SUMPRODUCT('DCF Valuation'!$B$4:$F$4/(1+$A9)^'DCF Valuation'!$B$5:$F$5)+'DCF Valuation'!$F$4*(1+F$4)/($A9-F$4)/(1+$A9)^'DCF Valuation'!$F$5-Assumptions!$B$23-Assumptions!$B$31+Assumptions!$B$32)/Assumptions!$B$35</f>
        <v>47.4323961920423</v>
      </c>
    </row>
    <row r="10" customFormat="false" ht="15" hidden="false" customHeight="true" outlineLevel="0" collapsed="false">
      <c r="A10" s="39" t="n">
        <f aca="false">Assumptions!$B$25+(5-3)*0.005</f>
        <v>0.092</v>
      </c>
      <c r="B10" s="38" t="n">
        <f aca="false">(SUMPRODUCT('DCF Valuation'!$B$4:$F$4/(1+$A10)^'DCF Valuation'!$B$5:$F$5)+'DCF Valuation'!$F$4*(1+B$4)/($A10-B$4)/(1+$A10)^'DCF Valuation'!$F$5-Assumptions!$B$23-Assumptions!$B$31+Assumptions!$B$32)/Assumptions!$B$35</f>
        <v>31.418375599534</v>
      </c>
      <c r="C10" s="38" t="n">
        <f aca="false">(SUMPRODUCT('DCF Valuation'!$B$4:$F$4/(1+$A10)^'DCF Valuation'!$B$5:$F$5)+'DCF Valuation'!$F$4*(1+C$4)/($A10-C$4)/(1+$A10)^'DCF Valuation'!$F$5-Assumptions!$B$23-Assumptions!$B$31+Assumptions!$B$32)/Assumptions!$B$35</f>
        <v>33.5918934487165</v>
      </c>
      <c r="D10" s="38" t="n">
        <f aca="false">(SUMPRODUCT('DCF Valuation'!$B$4:$F$4/(1+$A10)^'DCF Valuation'!$B$5:$F$5)+'DCF Valuation'!$F$4*(1+D$4)/($A10-D$4)/(1+$A10)^'DCF Valuation'!$F$5-Assumptions!$B$23-Assumptions!$B$31+Assumptions!$B$32)/Assumptions!$B$35</f>
        <v>36.0898169470306</v>
      </c>
      <c r="E10" s="38" t="n">
        <f aca="false">(SUMPRODUCT('DCF Valuation'!$B$4:$F$4/(1+$A10)^'DCF Valuation'!$B$5:$F$5)+'DCF Valuation'!$F$4*(1+E$4)/($A10-E$4)/(1+$A10)^'DCF Valuation'!$F$5-Assumptions!$B$23-Assumptions!$B$31+Assumptions!$B$32)/Assumptions!$B$35</f>
        <v>38.9906313321696</v>
      </c>
      <c r="F10" s="38" t="n">
        <f aca="false">(SUMPRODUCT('DCF Valuation'!$B$4:$F$4/(1+$A10)^'DCF Valuation'!$B$5:$F$5)+'DCF Valuation'!$F$4*(1+F$4)/($A10-F$4)/(1+$A10)^'DCF Valuation'!$F$5-Assumptions!$B$23-Assumptions!$B$31+Assumptions!$B$32)/Assumptions!$B$35</f>
        <v>42.400360521719</v>
      </c>
    </row>
    <row r="11" customFormat="false" ht="15" hidden="false" customHeight="true" outlineLevel="0" collapsed="false">
      <c r="A11" s="39" t="n">
        <f aca="false">Assumptions!$B$25+(6-3)*0.005</f>
        <v>0.097</v>
      </c>
      <c r="B11" s="38" t="n">
        <f aca="false">(SUMPRODUCT('DCF Valuation'!$B$4:$F$4/(1+$A11)^'DCF Valuation'!$B$5:$F$5)+'DCF Valuation'!$F$4*(1+B$4)/($A11-B$4)/(1+$A11)^'DCF Valuation'!$F$5-Assumptions!$B$23-Assumptions!$B$31+Assumptions!$B$32)/Assumptions!$B$35</f>
        <v>28.871736049416</v>
      </c>
      <c r="C11" s="38" t="n">
        <f aca="false">(SUMPRODUCT('DCF Valuation'!$B$4:$F$4/(1+$A11)^'DCF Valuation'!$B$5:$F$5)+'DCF Valuation'!$F$4*(1+C$4)/($A11-C$4)/(1+$A11)^'DCF Valuation'!$F$5-Assumptions!$B$23-Assumptions!$B$31+Assumptions!$B$32)/Assumptions!$B$35</f>
        <v>30.7456338360941</v>
      </c>
      <c r="D11" s="38" t="n">
        <f aca="false">(SUMPRODUCT('DCF Valuation'!$B$4:$F$4/(1+$A11)^'DCF Valuation'!$B$5:$F$5)+'DCF Valuation'!$F$4*(1+D$4)/($A11-D$4)/(1+$A11)^'DCF Valuation'!$F$5-Assumptions!$B$23-Assumptions!$B$31+Assumptions!$B$32)/Assumptions!$B$35</f>
        <v>32.8797952042553</v>
      </c>
      <c r="E11" s="38" t="n">
        <f aca="false">(SUMPRODUCT('DCF Valuation'!$B$4:$F$4/(1+$A11)^'DCF Valuation'!$B$5:$F$5)+'DCF Valuation'!$F$4*(1+E$4)/($A11-E$4)/(1+$A11)^'DCF Valuation'!$F$5-Assumptions!$B$23-Assumptions!$B$31+Assumptions!$B$32)/Assumptions!$B$35</f>
        <v>35.3324881199032</v>
      </c>
      <c r="F11" s="38" t="n">
        <f aca="false">(SUMPRODUCT('DCF Valuation'!$B$4:$F$4/(1+$A11)^'DCF Valuation'!$B$5:$F$5)+'DCF Valuation'!$F$4*(1+F$4)/($A11-F$4)/(1+$A11)^'DCF Valuation'!$F$5-Assumptions!$B$23-Assumptions!$B$31+Assumptions!$B$32)/Assumptions!$B$35</f>
        <v>38.1807766671072</v>
      </c>
    </row>
    <row r="14" customFormat="false" ht="15" hidden="false" customHeight="true" outlineLevel="0" collapsed="false">
      <c r="A14" s="8" t="s">
        <v>162</v>
      </c>
      <c r="B14" s="8"/>
      <c r="C14" s="8"/>
      <c r="D14" s="8"/>
      <c r="E14" s="8"/>
      <c r="F14" s="8"/>
    </row>
    <row r="15" customFormat="false" ht="15" hidden="false" customHeight="true" outlineLevel="0" collapsed="false">
      <c r="A15" s="4" t="s">
        <v>163</v>
      </c>
      <c r="B15" s="40" t="n">
        <f aca="false">Assumptions!$B$29+(0-2)*1</f>
        <v>10</v>
      </c>
      <c r="C15" s="40" t="n">
        <f aca="false">Assumptions!$B$29+(1-2)*1</f>
        <v>11</v>
      </c>
      <c r="D15" s="40" t="n">
        <f aca="false">Assumptions!$B$29+(2-2)*1</f>
        <v>12</v>
      </c>
      <c r="E15" s="40" t="n">
        <f aca="false">Assumptions!$B$29+(3-2)*1</f>
        <v>13</v>
      </c>
      <c r="F15" s="40" t="n">
        <f aca="false">Assumptions!$B$29+(4-2)*1</f>
        <v>14</v>
      </c>
    </row>
    <row r="16" customFormat="false" ht="15" hidden="false" customHeight="true" outlineLevel="0" collapsed="false">
      <c r="A16" s="39" t="n">
        <f aca="false">Assumptions!$B$25+(0-3)*0.005</f>
        <v>0.067</v>
      </c>
      <c r="B16" s="38" t="n">
        <f aca="false">(SUMPRODUCT('DCF Valuation'!$B$4:$F$4/(1+$A16)^'DCF Valuation'!$B$5:$F$5)+'DCF Valuation'!$B$32*B$15/(1+$A16)^'DCF Valuation'!$F$5-Assumptions!$B$23-Assumptions!$B$31+Assumptions!$B$32)/Assumptions!$B$35</f>
        <v>41.8416364503464</v>
      </c>
      <c r="C16" s="38" t="n">
        <f aca="false">(SUMPRODUCT('DCF Valuation'!$B$4:$F$4/(1+$A16)^'DCF Valuation'!$B$5:$F$5)+'DCF Valuation'!$B$32*C$15/(1+$A16)^'DCF Valuation'!$F$5-Assumptions!$B$23-Assumptions!$B$31+Assumptions!$B$32)/Assumptions!$B$35</f>
        <v>45.7100188174775</v>
      </c>
      <c r="D16" s="38" t="n">
        <f aca="false">(SUMPRODUCT('DCF Valuation'!$B$4:$F$4/(1+$A16)^'DCF Valuation'!$B$5:$F$5)+'DCF Valuation'!$B$32*D$15/(1+$A16)^'DCF Valuation'!$F$5-Assumptions!$B$23-Assumptions!$B$31+Assumptions!$B$32)/Assumptions!$B$35</f>
        <v>49.5784011846085</v>
      </c>
      <c r="E16" s="38" t="n">
        <f aca="false">(SUMPRODUCT('DCF Valuation'!$B$4:$F$4/(1+$A16)^'DCF Valuation'!$B$5:$F$5)+'DCF Valuation'!$B$32*E$15/(1+$A16)^'DCF Valuation'!$F$5-Assumptions!$B$23-Assumptions!$B$31+Assumptions!$B$32)/Assumptions!$B$35</f>
        <v>53.4467835517396</v>
      </c>
      <c r="F16" s="38" t="n">
        <f aca="false">(SUMPRODUCT('DCF Valuation'!$B$4:$F$4/(1+$A16)^'DCF Valuation'!$B$5:$F$5)+'DCF Valuation'!$B$32*F$15/(1+$A16)^'DCF Valuation'!$F$5-Assumptions!$B$23-Assumptions!$B$31+Assumptions!$B$32)/Assumptions!$B$35</f>
        <v>57.3151659188707</v>
      </c>
    </row>
    <row r="17" customFormat="false" ht="15" hidden="false" customHeight="true" outlineLevel="0" collapsed="false">
      <c r="A17" s="39" t="n">
        <f aca="false">Assumptions!$B$25+(1-3)*0.005</f>
        <v>0.072</v>
      </c>
      <c r="B17" s="38" t="n">
        <f aca="false">(SUMPRODUCT('DCF Valuation'!$B$4:$F$4/(1+$A17)^'DCF Valuation'!$B$5:$F$5)+'DCF Valuation'!$B$32*B$15/(1+$A17)^'DCF Valuation'!$F$5-Assumptions!$B$23-Assumptions!$B$31+Assumptions!$B$32)/Assumptions!$B$35</f>
        <v>40.7743992403257</v>
      </c>
      <c r="C17" s="38" t="n">
        <f aca="false">(SUMPRODUCT('DCF Valuation'!$B$4:$F$4/(1+$A17)^'DCF Valuation'!$B$5:$F$5)+'DCF Valuation'!$B$32*C$15/(1+$A17)^'DCF Valuation'!$F$5-Assumptions!$B$23-Assumptions!$B$31+Assumptions!$B$32)/Assumptions!$B$35</f>
        <v>44.5534051002614</v>
      </c>
      <c r="D17" s="38" t="n">
        <f aca="false">(SUMPRODUCT('DCF Valuation'!$B$4:$F$4/(1+$A17)^'DCF Valuation'!$B$5:$F$5)+'DCF Valuation'!$B$32*D$15/(1+$A17)^'DCF Valuation'!$F$5-Assumptions!$B$23-Assumptions!$B$31+Assumptions!$B$32)/Assumptions!$B$35</f>
        <v>48.3324109601971</v>
      </c>
      <c r="E17" s="38" t="n">
        <f aca="false">(SUMPRODUCT('DCF Valuation'!$B$4:$F$4/(1+$A17)^'DCF Valuation'!$B$5:$F$5)+'DCF Valuation'!$B$32*E$15/(1+$A17)^'DCF Valuation'!$F$5-Assumptions!$B$23-Assumptions!$B$31+Assumptions!$B$32)/Assumptions!$B$35</f>
        <v>52.1114168201328</v>
      </c>
      <c r="F17" s="38" t="n">
        <f aca="false">(SUMPRODUCT('DCF Valuation'!$B$4:$F$4/(1+$A17)^'DCF Valuation'!$B$5:$F$5)+'DCF Valuation'!$B$32*F$15/(1+$A17)^'DCF Valuation'!$F$5-Assumptions!$B$23-Assumptions!$B$31+Assumptions!$B$32)/Assumptions!$B$35</f>
        <v>55.8904226800685</v>
      </c>
    </row>
    <row r="18" customFormat="false" ht="15" hidden="false" customHeight="true" outlineLevel="0" collapsed="false">
      <c r="A18" s="39" t="n">
        <f aca="false">Assumptions!$B$25+(2-3)*0.005</f>
        <v>0.077</v>
      </c>
      <c r="B18" s="38" t="n">
        <f aca="false">(SUMPRODUCT('DCF Valuation'!$B$4:$F$4/(1+$A18)^'DCF Valuation'!$B$5:$F$5)+'DCF Valuation'!$B$32*B$15/(1+$A18)^'DCF Valuation'!$F$5-Assumptions!$B$23-Assumptions!$B$31+Assumptions!$B$32)/Assumptions!$B$35</f>
        <v>39.7355506288411</v>
      </c>
      <c r="C18" s="38" t="n">
        <f aca="false">(SUMPRODUCT('DCF Valuation'!$B$4:$F$4/(1+$A18)^'DCF Valuation'!$B$5:$F$5)+'DCF Valuation'!$B$32*C$15/(1+$A18)^'DCF Valuation'!$F$5-Assumptions!$B$23-Assumptions!$B$31+Assumptions!$B$32)/Assumptions!$B$35</f>
        <v>43.427646551035</v>
      </c>
      <c r="D18" s="38" t="n">
        <f aca="false">(SUMPRODUCT('DCF Valuation'!$B$4:$F$4/(1+$A18)^'DCF Valuation'!$B$5:$F$5)+'DCF Valuation'!$B$32*D$15/(1+$A18)^'DCF Valuation'!$F$5-Assumptions!$B$23-Assumptions!$B$31+Assumptions!$B$32)/Assumptions!$B$35</f>
        <v>47.1197424732289</v>
      </c>
      <c r="E18" s="38" t="n">
        <f aca="false">(SUMPRODUCT('DCF Valuation'!$B$4:$F$4/(1+$A18)^'DCF Valuation'!$B$5:$F$5)+'DCF Valuation'!$B$32*E$15/(1+$A18)^'DCF Valuation'!$F$5-Assumptions!$B$23-Assumptions!$B$31+Assumptions!$B$32)/Assumptions!$B$35</f>
        <v>50.8118383954228</v>
      </c>
      <c r="F18" s="38" t="n">
        <f aca="false">(SUMPRODUCT('DCF Valuation'!$B$4:$F$4/(1+$A18)^'DCF Valuation'!$B$5:$F$5)+'DCF Valuation'!$B$32*F$15/(1+$A18)^'DCF Valuation'!$F$5-Assumptions!$B$23-Assumptions!$B$31+Assumptions!$B$32)/Assumptions!$B$35</f>
        <v>54.5039343176167</v>
      </c>
    </row>
    <row r="19" customFormat="false" ht="15" hidden="false" customHeight="true" outlineLevel="0" collapsed="false">
      <c r="A19" s="39" t="n">
        <f aca="false">Assumptions!$B$25+(3-3)*0.005</f>
        <v>0.082</v>
      </c>
      <c r="B19" s="38" t="n">
        <f aca="false">(SUMPRODUCT('DCF Valuation'!$B$4:$F$4/(1+$A19)^'DCF Valuation'!$B$5:$F$5)+'DCF Valuation'!$B$32*B$15/(1+$A19)^'DCF Valuation'!$F$5-Assumptions!$B$23-Assumptions!$B$31+Assumptions!$B$32)/Assumptions!$B$35</f>
        <v>38.7241978314036</v>
      </c>
      <c r="C19" s="38" t="n">
        <f aca="false">(SUMPRODUCT('DCF Valuation'!$B$4:$F$4/(1+$A19)^'DCF Valuation'!$B$5:$F$5)+'DCF Valuation'!$B$32*C$15/(1+$A19)^'DCF Valuation'!$F$5-Assumptions!$B$23-Assumptions!$B$31+Assumptions!$B$32)/Assumptions!$B$35</f>
        <v>42.3317713330877</v>
      </c>
      <c r="D19" s="38" t="n">
        <f aca="false">(SUMPRODUCT('DCF Valuation'!$B$4:$F$4/(1+$A19)^'DCF Valuation'!$B$5:$F$5)+'DCF Valuation'!$B$32*D$15/(1+$A19)^'DCF Valuation'!$F$5-Assumptions!$B$23-Assumptions!$B$31+Assumptions!$B$32)/Assumptions!$B$35</f>
        <v>45.9393448347717</v>
      </c>
      <c r="E19" s="38" t="n">
        <f aca="false">(SUMPRODUCT('DCF Valuation'!$B$4:$F$4/(1+$A19)^'DCF Valuation'!$B$5:$F$5)+'DCF Valuation'!$B$32*E$15/(1+$A19)^'DCF Valuation'!$F$5-Assumptions!$B$23-Assumptions!$B$31+Assumptions!$B$32)/Assumptions!$B$35</f>
        <v>49.5469183364558</v>
      </c>
      <c r="F19" s="38" t="n">
        <f aca="false">(SUMPRODUCT('DCF Valuation'!$B$4:$F$4/(1+$A19)^'DCF Valuation'!$B$5:$F$5)+'DCF Valuation'!$B$32*F$15/(1+$A19)^'DCF Valuation'!$F$5-Assumptions!$B$23-Assumptions!$B$31+Assumptions!$B$32)/Assumptions!$B$35</f>
        <v>53.1544918381398</v>
      </c>
    </row>
    <row r="20" customFormat="false" ht="15" hidden="false" customHeight="true" outlineLevel="0" collapsed="false">
      <c r="A20" s="39" t="n">
        <f aca="false">Assumptions!$B$25+(4-3)*0.005</f>
        <v>0.087</v>
      </c>
      <c r="B20" s="38" t="n">
        <f aca="false">(SUMPRODUCT('DCF Valuation'!$B$4:$F$4/(1+$A20)^'DCF Valuation'!$B$5:$F$5)+'DCF Valuation'!$B$32*B$15/(1+$A20)^'DCF Valuation'!$F$5-Assumptions!$B$23-Assumptions!$B$31+Assumptions!$B$32)/Assumptions!$B$35</f>
        <v>37.7394802420721</v>
      </c>
      <c r="C20" s="38" t="n">
        <f aca="false">(SUMPRODUCT('DCF Valuation'!$B$4:$F$4/(1+$A20)^'DCF Valuation'!$B$5:$F$5)+'DCF Valuation'!$B$32*C$15/(1+$A20)^'DCF Valuation'!$F$5-Assumptions!$B$23-Assumptions!$B$31+Assumptions!$B$32)/Assumptions!$B$35</f>
        <v>41.2648426705611</v>
      </c>
      <c r="D20" s="38" t="n">
        <f aca="false">(SUMPRODUCT('DCF Valuation'!$B$4:$F$4/(1+$A20)^'DCF Valuation'!$B$5:$F$5)+'DCF Valuation'!$B$32*D$15/(1+$A20)^'DCF Valuation'!$F$5-Assumptions!$B$23-Assumptions!$B$31+Assumptions!$B$32)/Assumptions!$B$35</f>
        <v>44.7902050990502</v>
      </c>
      <c r="E20" s="38" t="n">
        <f aca="false">(SUMPRODUCT('DCF Valuation'!$B$4:$F$4/(1+$A20)^'DCF Valuation'!$B$5:$F$5)+'DCF Valuation'!$B$32*E$15/(1+$A20)^'DCF Valuation'!$F$5-Assumptions!$B$23-Assumptions!$B$31+Assumptions!$B$32)/Assumptions!$B$35</f>
        <v>48.3155675275392</v>
      </c>
      <c r="F20" s="38" t="n">
        <f aca="false">(SUMPRODUCT('DCF Valuation'!$B$4:$F$4/(1+$A20)^'DCF Valuation'!$B$5:$F$5)+'DCF Valuation'!$B$32*F$15/(1+$A20)^'DCF Valuation'!$F$5-Assumptions!$B$23-Assumptions!$B$31+Assumptions!$B$32)/Assumptions!$B$35</f>
        <v>51.8409299560283</v>
      </c>
    </row>
    <row r="21" customFormat="false" ht="15" hidden="false" customHeight="true" outlineLevel="0" collapsed="false">
      <c r="A21" s="39" t="n">
        <f aca="false">Assumptions!$B$25+(5-3)*0.005</f>
        <v>0.092</v>
      </c>
      <c r="B21" s="38" t="n">
        <f aca="false">(SUMPRODUCT('DCF Valuation'!$B$4:$F$4/(1+$A21)^'DCF Valuation'!$B$5:$F$5)+'DCF Valuation'!$B$32*B$15/(1+$A21)^'DCF Valuation'!$F$5-Assumptions!$B$23-Assumptions!$B$31+Assumptions!$B$32)/Assumptions!$B$35</f>
        <v>36.7805681296929</v>
      </c>
      <c r="C21" s="38" t="n">
        <f aca="false">(SUMPRODUCT('DCF Valuation'!$B$4:$F$4/(1+$A21)^'DCF Valuation'!$B$5:$F$5)+'DCF Valuation'!$B$32*C$15/(1+$A21)^'DCF Valuation'!$F$5-Assumptions!$B$23-Assumptions!$B$31+Assumptions!$B$32)/Assumptions!$B$35</f>
        <v>40.2259574269992</v>
      </c>
      <c r="D21" s="38" t="n">
        <f aca="false">(SUMPRODUCT('DCF Valuation'!$B$4:$F$4/(1+$A21)^'DCF Valuation'!$B$5:$F$5)+'DCF Valuation'!$B$32*D$15/(1+$A21)^'DCF Valuation'!$F$5-Assumptions!$B$23-Assumptions!$B$31+Assumptions!$B$32)/Assumptions!$B$35</f>
        <v>43.6713467243054</v>
      </c>
      <c r="E21" s="38" t="n">
        <f aca="false">(SUMPRODUCT('DCF Valuation'!$B$4:$F$4/(1+$A21)^'DCF Valuation'!$B$5:$F$5)+'DCF Valuation'!$B$32*E$15/(1+$A21)^'DCF Valuation'!$F$5-Assumptions!$B$23-Assumptions!$B$31+Assumptions!$B$32)/Assumptions!$B$35</f>
        <v>47.1167360216117</v>
      </c>
      <c r="F21" s="38" t="n">
        <f aca="false">(SUMPRODUCT('DCF Valuation'!$B$4:$F$4/(1+$A21)^'DCF Valuation'!$B$5:$F$5)+'DCF Valuation'!$B$32*F$15/(1+$A21)^'DCF Valuation'!$F$5-Assumptions!$B$23-Assumptions!$B$31+Assumptions!$B$32)/Assumptions!$B$35</f>
        <v>50.5621253189179</v>
      </c>
    </row>
    <row r="22" customFormat="false" ht="15" hidden="false" customHeight="true" outlineLevel="0" collapsed="false">
      <c r="A22" s="39" t="n">
        <f aca="false">Assumptions!$B$25+(6-3)*0.005</f>
        <v>0.097</v>
      </c>
      <c r="B22" s="38" t="n">
        <f aca="false">(SUMPRODUCT('DCF Valuation'!$B$4:$F$4/(1+$A22)^'DCF Valuation'!$B$5:$F$5)+'DCF Valuation'!$B$32*B$15/(1+$A22)^'DCF Valuation'!$F$5-Assumptions!$B$23-Assumptions!$B$31+Assumptions!$B$32)/Assumptions!$B$35</f>
        <v>35.8466613926966</v>
      </c>
      <c r="C22" s="38" t="n">
        <f aca="false">(SUMPRODUCT('DCF Valuation'!$B$4:$F$4/(1+$A22)^'DCF Valuation'!$B$5:$F$5)+'DCF Valuation'!$B$32*C$15/(1+$A22)^'DCF Valuation'!$F$5-Assumptions!$B$23-Assumptions!$B$31+Assumptions!$B$32)/Assumptions!$B$35</f>
        <v>39.214244747769</v>
      </c>
      <c r="D22" s="38" t="n">
        <f aca="false">(SUMPRODUCT('DCF Valuation'!$B$4:$F$4/(1+$A22)^'DCF Valuation'!$B$5:$F$5)+'DCF Valuation'!$B$32*D$15/(1+$A22)^'DCF Valuation'!$F$5-Assumptions!$B$23-Assumptions!$B$31+Assumptions!$B$32)/Assumptions!$B$35</f>
        <v>42.5818281028414</v>
      </c>
      <c r="E22" s="38" t="n">
        <f aca="false">(SUMPRODUCT('DCF Valuation'!$B$4:$F$4/(1+$A22)^'DCF Valuation'!$B$5:$F$5)+'DCF Valuation'!$B$32*E$15/(1+$A22)^'DCF Valuation'!$F$5-Assumptions!$B$23-Assumptions!$B$31+Assumptions!$B$32)/Assumptions!$B$35</f>
        <v>45.9494114579138</v>
      </c>
      <c r="F22" s="38" t="n">
        <f aca="false">(SUMPRODUCT('DCF Valuation'!$B$4:$F$4/(1+$A22)^'DCF Valuation'!$B$5:$F$5)+'DCF Valuation'!$B$32*F$15/(1+$A22)^'DCF Valuation'!$F$5-Assumptions!$B$23-Assumptions!$B$31+Assumptions!$B$32)/Assumptions!$B$35</f>
        <v>49.3169948129862</v>
      </c>
    </row>
    <row r="24" customFormat="false" ht="15" hidden="false" customHeight="true" outlineLevel="0" collapsed="false">
      <c r="A24" s="32" t="s">
        <v>164</v>
      </c>
      <c r="B24" s="32"/>
      <c r="C24" s="32"/>
      <c r="D24" s="32"/>
      <c r="E24" s="32"/>
      <c r="F24" s="32"/>
    </row>
    <row r="25" customFormat="false" ht="15" hidden="false" customHeight="true" outlineLevel="0" collapsed="false">
      <c r="A25" s="32"/>
      <c r="B25" s="32"/>
      <c r="C25" s="32"/>
      <c r="D25" s="32"/>
      <c r="E25" s="32"/>
      <c r="F25" s="32"/>
    </row>
  </sheetData>
  <mergeCells count="4">
    <mergeCell ref="A1:F1"/>
    <mergeCell ref="A3:F3"/>
    <mergeCell ref="A14:F14"/>
    <mergeCell ref="A24:F25"/>
  </mergeCells>
  <conditionalFormatting sqref="B5:F11">
    <cfRule type="cellIs" priority="2" operator="greaterThan" aboveAverage="0" equalAverage="0" bottom="0" percent="0" rank="0" text="" dxfId="0">
      <formula>Assumptions!$B$36</formula>
    </cfRule>
    <cfRule type="cellIs" priority="3" operator="lessThanOrEqual" aboveAverage="0" equalAverage="0" bottom="0" percent="0" rank="0" text="" dxfId="1">
      <formula>Assumptions!$B$36</formula>
    </cfRule>
  </conditionalFormatting>
  <conditionalFormatting sqref="B16:F22">
    <cfRule type="cellIs" priority="4" operator="greaterThan" aboveAverage="0" equalAverage="0" bottom="0" percent="0" rank="0" text="" dxfId="0">
      <formula>Assumptions!$B$36</formula>
    </cfRule>
    <cfRule type="cellIs" priority="5" operator="lessThanOrEqual" aboveAverage="0" equalAverage="0" bottom="0" percent="0" rank="0" text="" dxfId="1">
      <formula>Assumptions!$B$36</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48"/>
    <col collapsed="false" customWidth="true" hidden="false" outlineLevel="0" max="3" min="3" style="1" width="90"/>
  </cols>
  <sheetData>
    <row r="1" customFormat="false" ht="17.25" hidden="false" customHeight="true" outlineLevel="0" collapsed="false">
      <c r="A1" s="2" t="s">
        <v>165</v>
      </c>
      <c r="B1" s="2"/>
      <c r="C1" s="2"/>
    </row>
    <row r="3" customFormat="false" ht="15" hidden="false" customHeight="true" outlineLevel="0" collapsed="false">
      <c r="A3" s="8" t="s">
        <v>166</v>
      </c>
      <c r="B3" s="8"/>
      <c r="C3" s="8"/>
    </row>
    <row r="4" customFormat="false" ht="15" hidden="false" customHeight="true" outlineLevel="0" collapsed="false">
      <c r="A4" s="29" t="n">
        <v>1</v>
      </c>
      <c r="B4" s="29" t="s">
        <v>167</v>
      </c>
      <c r="C4" s="29" t="str">
        <f aca="false">IF(ABS('Sensitivity Analysis'!D8-'DCF Valuation'!B27)&lt;0.01,"OK","CHECK")</f>
        <v>OK</v>
      </c>
    </row>
    <row r="5" customFormat="false" ht="15" hidden="false" customHeight="true" outlineLevel="0" collapsed="false">
      <c r="A5" s="29" t="n">
        <v>2</v>
      </c>
      <c r="B5" s="29" t="s">
        <v>168</v>
      </c>
      <c r="C5" s="29" t="str">
        <f aca="false">IF(ABS('Sensitivity Analysis'!D19-'DCF Valuation'!B38)&lt;0.01,"OK","CHECK")</f>
        <v>OK</v>
      </c>
    </row>
    <row r="6" customFormat="false" ht="15" hidden="false" customHeight="true" outlineLevel="0" collapsed="false">
      <c r="A6" s="29" t="n">
        <v>3</v>
      </c>
      <c r="B6" s="29" t="s">
        <v>169</v>
      </c>
      <c r="C6" s="29" t="str">
        <f aca="false">IF(Assumptions!B25&gt;Assumptions!B28,"OK","CHECK")</f>
        <v>OK</v>
      </c>
    </row>
    <row r="7" customFormat="false" ht="15" hidden="false" customHeight="true" outlineLevel="0" collapsed="false">
      <c r="A7" s="29" t="n">
        <v>4</v>
      </c>
      <c r="B7" s="29" t="s">
        <v>170</v>
      </c>
      <c r="C7" s="29" t="str">
        <f aca="false">IF(ABS('Income Statement &amp; FCF'!B9-0.179)&lt;0.0005,"OK","CHECK")</f>
        <v>OK</v>
      </c>
    </row>
    <row r="9" customFormat="false" ht="15" hidden="false" customHeight="true" outlineLevel="0" collapsed="false">
      <c r="A9" s="8" t="s">
        <v>171</v>
      </c>
      <c r="B9" s="8"/>
      <c r="C9" s="8"/>
    </row>
    <row r="10" customFormat="false" ht="34.5" hidden="false" customHeight="true" outlineLevel="0" collapsed="false">
      <c r="A10" s="41" t="n">
        <v>1</v>
      </c>
      <c r="B10" s="41" t="s">
        <v>172</v>
      </c>
      <c r="C10" s="42" t="s">
        <v>173</v>
      </c>
    </row>
    <row r="11" customFormat="false" ht="34.5" hidden="false" customHeight="true" outlineLevel="0" collapsed="false">
      <c r="A11" s="41" t="n">
        <v>2</v>
      </c>
      <c r="B11" s="41" t="s">
        <v>174</v>
      </c>
      <c r="C11" s="42" t="s">
        <v>175</v>
      </c>
    </row>
    <row r="12" customFormat="false" ht="34.5" hidden="false" customHeight="true" outlineLevel="0" collapsed="false">
      <c r="A12" s="41" t="n">
        <v>3</v>
      </c>
      <c r="B12" s="41" t="s">
        <v>119</v>
      </c>
      <c r="C12" s="42" t="s">
        <v>176</v>
      </c>
    </row>
    <row r="13" customFormat="false" ht="34.5" hidden="false" customHeight="true" outlineLevel="0" collapsed="false">
      <c r="A13" s="41" t="n">
        <v>4</v>
      </c>
      <c r="B13" s="41" t="s">
        <v>177</v>
      </c>
      <c r="C13" s="42" t="s">
        <v>178</v>
      </c>
    </row>
    <row r="14" customFormat="false" ht="34.5" hidden="false" customHeight="true" outlineLevel="0" collapsed="false">
      <c r="A14" s="41" t="n">
        <v>5</v>
      </c>
      <c r="B14" s="41" t="s">
        <v>101</v>
      </c>
      <c r="C14" s="42" t="s">
        <v>179</v>
      </c>
    </row>
    <row r="15" customFormat="false" ht="34.5" hidden="false" customHeight="true" outlineLevel="0" collapsed="false">
      <c r="A15" s="41" t="n">
        <v>6</v>
      </c>
      <c r="B15" s="41" t="s">
        <v>180</v>
      </c>
      <c r="C15" s="42" t="s">
        <v>181</v>
      </c>
    </row>
    <row r="16" customFormat="false" ht="34.5" hidden="false" customHeight="true" outlineLevel="0" collapsed="false">
      <c r="A16" s="41" t="n">
        <v>7</v>
      </c>
      <c r="B16" s="41" t="s">
        <v>182</v>
      </c>
      <c r="C16" s="42" t="s">
        <v>183</v>
      </c>
    </row>
    <row r="17" customFormat="false" ht="34.5" hidden="false" customHeight="true" outlineLevel="0" collapsed="false">
      <c r="A17" s="41" t="n">
        <v>8</v>
      </c>
      <c r="B17" s="41" t="s">
        <v>138</v>
      </c>
      <c r="C17" s="42" t="s">
        <v>184</v>
      </c>
    </row>
    <row r="19" customFormat="false" ht="15" hidden="false" customHeight="true" outlineLevel="0" collapsed="false">
      <c r="A19" s="8" t="s">
        <v>185</v>
      </c>
      <c r="B19" s="8"/>
      <c r="C19" s="8"/>
    </row>
    <row r="20" customFormat="false" ht="39.75" hidden="false" customHeight="true" outlineLevel="0" collapsed="false">
      <c r="B20" s="29" t="s">
        <v>138</v>
      </c>
      <c r="C20" s="42" t="s">
        <v>186</v>
      </c>
    </row>
    <row r="21" customFormat="false" ht="39.75" hidden="false" customHeight="true" outlineLevel="0" collapsed="false">
      <c r="B21" s="29" t="s">
        <v>187</v>
      </c>
      <c r="C21" s="42" t="s">
        <v>188</v>
      </c>
    </row>
    <row r="22" customFormat="false" ht="39.75" hidden="false" customHeight="true" outlineLevel="0" collapsed="false">
      <c r="B22" s="29" t="s">
        <v>189</v>
      </c>
      <c r="C22" s="42" t="s">
        <v>190</v>
      </c>
    </row>
    <row r="23" customFormat="false" ht="39.75" hidden="false" customHeight="true" outlineLevel="0" collapsed="false">
      <c r="B23" s="29" t="s">
        <v>191</v>
      </c>
      <c r="C23" s="42" t="s">
        <v>192</v>
      </c>
    </row>
  </sheetData>
  <mergeCells count="4">
    <mergeCell ref="A1:C1"/>
    <mergeCell ref="A3:C3"/>
    <mergeCell ref="A9:C9"/>
    <mergeCell ref="A19:C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2026-10-08T15:35:00Z</dcterms:created>
  <dc:creator>openpyxl</dc:creator>
  <dc:description/>
  <dc:language>en-US</dc:language>
  <cp:lastModifiedBy/>
  <dcterms:modified xsi:type="dcterms:W3CDTF">2026-10-08T15:35:53Z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