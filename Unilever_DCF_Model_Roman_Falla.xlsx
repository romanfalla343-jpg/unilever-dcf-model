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 Statement &amp; FCF" sheetId="3" state="visible" r:id="rId3"/>
    <sheet xmlns:r="http://schemas.openxmlformats.org/officeDocument/2006/relationships" name="DCF Valuation" sheetId="4" state="visible" r:id="rId4"/>
    <sheet xmlns:r="http://schemas.openxmlformats.org/officeDocument/2006/relationships" name="Sensitivit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;(0.0%);&quot;-&quot;"/>
    <numFmt numFmtId="165" formatCode="0.0x"/>
    <numFmt numFmtId="166" formatCode="#,##0;(#,##0);&quot;-&quot;"/>
    <numFmt numFmtId="167" formatCode="£#,##0.0;(£#,##0.0);&quot;-&quot;"/>
    <numFmt numFmtId="168" formatCode="£#,##0.00"/>
    <numFmt numFmtId="169" formatCode="0.0"/>
    <numFmt numFmtId="170" formatCode="0.0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color rgb="00000000"/>
      <sz val="10"/>
    </font>
    <font>
      <name val="Arial"/>
      <b val="1"/>
      <color rgb="00FFFFFF"/>
      <sz val="13"/>
    </font>
    <font>
      <name val="Arial"/>
      <color rgb="00008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006100"/>
      <sz val="10"/>
    </font>
    <font>
      <name val="Arial"/>
      <i val="1"/>
      <color rgb="00404040"/>
      <sz val="9"/>
    </font>
    <font>
      <name val="Arial"/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00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/>
    </xf>
    <xf numFmtId="0" fontId="8" fillId="0" borderId="0" pivotButton="0" quotePrefix="0" xfId="0"/>
    <xf numFmtId="2" fontId="7" fillId="5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right"/>
    </xf>
    <xf numFmtId="167" fontId="11" fillId="0" borderId="1" applyAlignment="1" pivotButton="0" quotePrefix="0" xfId="0">
      <alignment horizontal="right"/>
    </xf>
    <xf numFmtId="169" fontId="7" fillId="0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167" fontId="12" fillId="4" borderId="2" applyAlignment="1" pivotButton="0" quotePrefix="0" xfId="0">
      <alignment horizontal="right"/>
    </xf>
    <xf numFmtId="166" fontId="11" fillId="0" borderId="1" applyAlignment="1" pivotButton="0" quotePrefix="0" xfId="0">
      <alignment horizontal="right"/>
    </xf>
    <xf numFmtId="168" fontId="13" fillId="6" borderId="2" applyAlignment="1" pivotButton="0" quotePrefix="0" xfId="0">
      <alignment horizontal="right"/>
    </xf>
    <xf numFmtId="168" fontId="11" fillId="0" borderId="1" applyAlignment="1" pivotButton="0" quotePrefix="0" xfId="0">
      <alignment horizontal="right"/>
    </xf>
    <xf numFmtId="164" fontId="12" fillId="0" borderId="2" applyAlignment="1" pivotButton="0" quotePrefix="0" xfId="0">
      <alignment horizontal="right"/>
    </xf>
    <xf numFmtId="168" fontId="14" fillId="6" borderId="1" applyAlignment="1" pivotButton="0" quotePrefix="0" xfId="0">
      <alignment horizontal="right"/>
    </xf>
    <xf numFmtId="0" fontId="1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G17"/>
  <sheetViews>
    <sheetView showGridLines="0" showRowColHeader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/>
    <row r="2" ht="22" customHeight="1">
      <c r="B2" s="1" t="inlineStr">
        <is>
          <t>DISCOUNTED CASH FLOW MODEL</t>
        </is>
      </c>
    </row>
    <row r="3" ht="22" customHeight="1"/>
    <row r="4" ht="22" customHeight="1">
      <c r="B4" s="2" t="inlineStr">
        <is>
          <t>UNILEVER PLC  (ULVR.L  ·  LSE)</t>
        </is>
      </c>
    </row>
    <row r="5" ht="22" customHeight="1"/>
    <row r="6" ht="22" customHeight="1"/>
    <row r="7" ht="22" customHeight="1">
      <c r="B7" s="3" t="inlineStr">
        <is>
          <t>Analyst:</t>
        </is>
      </c>
      <c r="D7" s="4" t="inlineStr">
        <is>
          <t>Roman Falla</t>
        </is>
      </c>
    </row>
    <row r="8" ht="22" customHeight="1">
      <c r="B8" s="3" t="inlineStr">
        <is>
          <t>Degree:</t>
        </is>
      </c>
      <c r="D8" s="4" t="inlineStr">
        <is>
          <t>BSc Economics &amp; Management, University of Bristol</t>
        </is>
      </c>
    </row>
    <row r="9" ht="22" customHeight="1">
      <c r="B9" s="3" t="inlineStr">
        <is>
          <t>Date:</t>
        </is>
      </c>
      <c r="D9" s="4" t="inlineStr">
        <is>
          <t>May 2026</t>
        </is>
      </c>
    </row>
    <row r="10" ht="22" customHeight="1">
      <c r="B10" s="3" t="inlineStr">
        <is>
          <t>Model Version:</t>
        </is>
      </c>
      <c r="D10" s="4" t="inlineStr">
        <is>
          <t>1.0</t>
        </is>
      </c>
    </row>
    <row r="11" ht="22" customHeight="1">
      <c r="B11" s="3" t="inlineStr">
        <is>
          <t>Currency:</t>
        </is>
      </c>
      <c r="D11" s="4" t="inlineStr">
        <is>
          <t>GBP (£mm unless stated)</t>
        </is>
      </c>
    </row>
    <row r="12" ht="22" customHeight="1">
      <c r="B12" s="3" t="inlineStr">
        <is>
          <t>Projection Period:</t>
        </is>
      </c>
      <c r="D12" s="4" t="inlineStr">
        <is>
          <t>FY2025E – FY2029E  (5-year)</t>
        </is>
      </c>
    </row>
    <row r="13" ht="22" customHeight="1">
      <c r="B13" s="3" t="inlineStr">
        <is>
          <t>Valuation Method:</t>
        </is>
      </c>
      <c r="D13" s="4" t="inlineStr">
        <is>
          <t>Unlevered DCF + Gordon Growth Terminal Value</t>
        </is>
      </c>
    </row>
    <row r="14" ht="22" customHeight="1">
      <c r="B14" s="3" t="inlineStr">
        <is>
          <t>Cross-check:</t>
        </is>
      </c>
      <c r="D14" s="4" t="inlineStr">
        <is>
          <t>EV/EBITDA Exit Multiple</t>
        </is>
      </c>
    </row>
    <row r="15" ht="22" customHeight="1"/>
    <row r="16" ht="22" customHeight="1"/>
    <row r="17" ht="40" customHeight="1">
      <c r="B17" s="5" t="inlineStr">
        <is>
          <t>DISCLAIMER: This model is built for educational and portfolio purposes only. It does not constitute investment advice. All figures are based on publicly available information and analyst estimates.</t>
        </is>
      </c>
    </row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</sheetData>
  <mergeCells count="19">
    <mergeCell ref="D9:G9"/>
    <mergeCell ref="B7:C7"/>
    <mergeCell ref="D12:G12"/>
    <mergeCell ref="D8:G8"/>
    <mergeCell ref="B17:G17"/>
    <mergeCell ref="D14:G14"/>
    <mergeCell ref="B12:C12"/>
    <mergeCell ref="B11:C11"/>
    <mergeCell ref="B14:C14"/>
    <mergeCell ref="D10:G10"/>
    <mergeCell ref="B8:C8"/>
    <mergeCell ref="B13:C13"/>
    <mergeCell ref="B2:G3"/>
    <mergeCell ref="B10:C10"/>
    <mergeCell ref="B4:G4"/>
    <mergeCell ref="D11:G11"/>
    <mergeCell ref="D13:G13"/>
    <mergeCell ref="B9:C9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50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6" t="inlineStr">
        <is>
          <t>UNILEVER PLC (ULVR.L) — DCF VALUATION MODEL</t>
        </is>
      </c>
    </row>
    <row r="2">
      <c r="A2" s="7" t="inlineStr">
        <is>
          <t>Roman Falla  ·  BSc Economics &amp; Management, University of Bristol  ·  May 2026</t>
        </is>
      </c>
    </row>
    <row r="4" ht="20" customHeight="1">
      <c r="A4" s="8" t="inlineStr">
        <is>
          <t>KEY ASSUMPTIONS</t>
        </is>
      </c>
    </row>
    <row r="5">
      <c r="A5" s="9" t="inlineStr">
        <is>
          <t>Assumption</t>
        </is>
      </c>
      <c r="B5" s="10" t="inlineStr">
        <is>
          <t>2025</t>
        </is>
      </c>
      <c r="C5" s="10" t="inlineStr">
        <is>
          <t>2026</t>
        </is>
      </c>
      <c r="D5" s="10" t="inlineStr">
        <is>
          <t>2027</t>
        </is>
      </c>
      <c r="E5" s="10" t="inlineStr">
        <is>
          <t>2028</t>
        </is>
      </c>
      <c r="F5" s="10" t="inlineStr">
        <is>
          <t>2029</t>
        </is>
      </c>
    </row>
    <row r="6">
      <c r="A6" s="11" t="inlineStr">
        <is>
          <t>Revenue Growth Rate (%)</t>
        </is>
      </c>
      <c r="B6" s="12" t="n">
        <v>0.04</v>
      </c>
      <c r="C6" s="12" t="n">
        <v>0.045</v>
      </c>
      <c r="D6" s="12" t="n">
        <v>0.048</v>
      </c>
      <c r="E6" s="12" t="n">
        <v>0.05</v>
      </c>
      <c r="F6" s="12" t="n">
        <v>0.05</v>
      </c>
    </row>
    <row r="7">
      <c r="A7" s="13" t="inlineStr">
        <is>
          <t>EBIT Margin (%)</t>
        </is>
      </c>
      <c r="B7" s="12" t="n">
        <v>0.16</v>
      </c>
      <c r="C7" s="12" t="n">
        <v>0.162</v>
      </c>
      <c r="D7" s="12" t="n">
        <v>0.165</v>
      </c>
      <c r="E7" s="12" t="n">
        <v>0.167</v>
      </c>
      <c r="F7" s="12" t="n">
        <v>0.17</v>
      </c>
    </row>
    <row r="8">
      <c r="A8" s="11" t="inlineStr">
        <is>
          <t>Tax Rate (%)</t>
        </is>
      </c>
      <c r="B8" s="14" t="n">
        <v>0.25</v>
      </c>
      <c r="C8" s="14" t="n">
        <v>0.25</v>
      </c>
      <c r="D8" s="14" t="n">
        <v>0.25</v>
      </c>
      <c r="E8" s="14" t="n">
        <v>0.25</v>
      </c>
      <c r="F8" s="14" t="n">
        <v>0.25</v>
      </c>
    </row>
    <row r="9">
      <c r="A9" s="13" t="inlineStr">
        <is>
          <t>D&amp;A as % of Revenue (%)</t>
        </is>
      </c>
      <c r="B9" s="14" t="n">
        <v>0.04</v>
      </c>
      <c r="C9" s="14" t="n">
        <v>0.04</v>
      </c>
      <c r="D9" s="14" t="n">
        <v>0.039</v>
      </c>
      <c r="E9" s="14" t="n">
        <v>0.039</v>
      </c>
      <c r="F9" s="14" t="n">
        <v>0.038</v>
      </c>
    </row>
    <row r="10">
      <c r="A10" s="11" t="inlineStr">
        <is>
          <t>Capex as % of Revenue (%)</t>
        </is>
      </c>
      <c r="B10" s="14" t="n">
        <v>0.035</v>
      </c>
      <c r="C10" s="14" t="n">
        <v>0.035</v>
      </c>
      <c r="D10" s="14" t="n">
        <v>0.034</v>
      </c>
      <c r="E10" s="14" t="n">
        <v>0.034</v>
      </c>
      <c r="F10" s="14" t="n">
        <v>0.033</v>
      </c>
    </row>
    <row r="11">
      <c r="A11" s="13" t="inlineStr">
        <is>
          <t>Change in NWC as % Rev (%)</t>
        </is>
      </c>
      <c r="B11" s="14" t="n">
        <v>0.01</v>
      </c>
      <c r="C11" s="14" t="n">
        <v>0.01</v>
      </c>
      <c r="D11" s="14" t="n">
        <v>0.01</v>
      </c>
      <c r="E11" s="14" t="n">
        <v>0.01</v>
      </c>
      <c r="F11" s="14" t="n">
        <v>0.01</v>
      </c>
    </row>
    <row r="13" ht="20" customHeight="1">
      <c r="A13" s="8" t="inlineStr">
        <is>
          <t>WACC ASSUMPTIONS</t>
        </is>
      </c>
    </row>
    <row r="14">
      <c r="A14" s="11" t="inlineStr">
        <is>
          <t>Risk-Free Rate (%)</t>
        </is>
      </c>
      <c r="B14" s="12" t="n">
        <v>0.045</v>
      </c>
      <c r="C14" s="15" t="inlineStr">
        <is>
          <t>Source: UK 10Y Gilt yield, May 2026</t>
        </is>
      </c>
    </row>
    <row r="15">
      <c r="A15" s="13" t="inlineStr">
        <is>
          <t>Equity Risk Premium (%)</t>
        </is>
      </c>
      <c r="B15" s="12" t="n">
        <v>0.05</v>
      </c>
      <c r="C15" s="15" t="inlineStr">
        <is>
          <t>Source: Damodaran, Jan 2026</t>
        </is>
      </c>
    </row>
    <row r="16">
      <c r="A16" s="11" t="inlineStr">
        <is>
          <t>Beta</t>
        </is>
      </c>
      <c r="B16" s="16" t="n">
        <v>0.65</v>
      </c>
      <c r="C16" s="15" t="inlineStr">
        <is>
          <t>Source: Bloomberg Terminal, 5Y monthly</t>
        </is>
      </c>
    </row>
    <row r="17">
      <c r="A17" s="13" t="inlineStr">
        <is>
          <t>Cost of Equity (%)</t>
        </is>
      </c>
      <c r="B17" s="17">
        <f>B15+B16*B17</f>
        <v/>
      </c>
      <c r="C17" s="15">
        <f>Rf + Beta x ERP</f>
        <v/>
      </c>
    </row>
    <row r="18">
      <c r="A18" s="11" t="inlineStr">
        <is>
          <t>Cost of Debt (pre-tax) (%)</t>
        </is>
      </c>
      <c r="B18" s="14" t="n">
        <v>0.04</v>
      </c>
      <c r="C18" s="15" t="inlineStr">
        <is>
          <t>Source: Unilever FY2024 Annual Report</t>
        </is>
      </c>
    </row>
    <row r="19">
      <c r="A19" s="13" t="inlineStr">
        <is>
          <t>Tax Rate (%)</t>
        </is>
      </c>
      <c r="B19" s="14" t="n">
        <v>0.25</v>
      </c>
      <c r="C19" s="15" t="inlineStr">
        <is>
          <t>Consistent with income statement</t>
        </is>
      </c>
    </row>
    <row r="20">
      <c r="A20" s="11" t="inlineStr">
        <is>
          <t>Cost of Debt (post-tax) (%)</t>
        </is>
      </c>
      <c r="B20" s="17">
        <f>B18*(1-B19)</f>
        <v/>
      </c>
      <c r="C20" s="15">
        <f>Kd x (1 - Tax Rate)</f>
        <v/>
      </c>
    </row>
    <row r="21">
      <c r="A21" s="13" t="inlineStr">
        <is>
          <t>Debt / (Debt + Equity)</t>
        </is>
      </c>
      <c r="B21" s="14" t="n">
        <v>0.3</v>
      </c>
      <c r="C21" s="15" t="inlineStr">
        <is>
          <t>Source: Unilever FY2024 Balance Sheet</t>
        </is>
      </c>
    </row>
    <row r="22">
      <c r="A22" s="11" t="inlineStr">
        <is>
          <t>Equity / (Debt + Equity)</t>
        </is>
      </c>
      <c r="B22" s="17">
        <f>1-B21</f>
        <v/>
      </c>
      <c r="C22" s="15">
        <f>1 - D/(D+E)</f>
        <v/>
      </c>
    </row>
    <row r="23">
      <c r="A23" s="13" t="inlineStr">
        <is>
          <t>WACC (%)</t>
        </is>
      </c>
      <c r="B23" s="17">
        <f>B18*(1-B19)*B21+B22*B24</f>
        <v/>
      </c>
      <c r="C23" s="15">
        <f>Ke x E/V + Kd(1-t) x D/V</f>
        <v/>
      </c>
    </row>
    <row r="25" ht="20" customHeight="1">
      <c r="A25" s="8" t="inlineStr">
        <is>
          <t>TERMINAL VALUE ASSUMPTIONS</t>
        </is>
      </c>
    </row>
    <row r="26">
      <c r="A26" s="13" t="inlineStr">
        <is>
          <t>Terminal Growth Rate (%)</t>
        </is>
      </c>
      <c r="B26" s="12" t="n">
        <v>0.025</v>
      </c>
      <c r="C26" s="15" t="inlineStr">
        <is>
          <t>Gordon Growth Model; below long-run UK nominal GDP</t>
        </is>
      </c>
    </row>
    <row r="27">
      <c r="A27" s="13" t="inlineStr">
        <is>
          <t>Exit EV/EBITDA Multiple (cross-check)</t>
        </is>
      </c>
      <c r="B27" s="18" t="n">
        <v>12</v>
      </c>
    </row>
    <row r="29" ht="20" customHeight="1">
      <c r="A29" s="8" t="inlineStr">
        <is>
          <t>SHARE &amp; BALANCE SHEET DATA</t>
        </is>
      </c>
    </row>
    <row r="30">
      <c r="A30" s="11" t="inlineStr">
        <is>
          <t>Shares Outstanding (mm)</t>
        </is>
      </c>
      <c r="B30" s="19" t="n">
        <v>2587</v>
      </c>
      <c r="C30" s="15" t="inlineStr">
        <is>
          <t>Source: Unilever FY2024 Annual Report</t>
        </is>
      </c>
    </row>
    <row r="31">
      <c r="A31" s="13" t="inlineStr">
        <is>
          <t>Net Debt (£mm)</t>
        </is>
      </c>
      <c r="B31" s="20" t="n">
        <v>9800</v>
      </c>
      <c r="C31" s="15" t="inlineStr">
        <is>
          <t>Source: Unilever FY2024 Balance Sheet</t>
        </is>
      </c>
    </row>
    <row r="32">
      <c r="A32" s="11" t="inlineStr">
        <is>
          <t>Current Share Price (£)</t>
        </is>
      </c>
      <c r="B32" s="21" t="n">
        <v>38.5</v>
      </c>
      <c r="C32" s="15" t="inlineStr">
        <is>
          <t>Source: LSE, May 2026</t>
        </is>
      </c>
    </row>
  </sheetData>
  <mergeCells count="6">
    <mergeCell ref="A2:F2"/>
    <mergeCell ref="A13:F13"/>
    <mergeCell ref="A1:F1"/>
    <mergeCell ref="A4:F4"/>
    <mergeCell ref="A29:F2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22" t="inlineStr">
        <is>
          <t>INCOME STATEMENT &amp; FREE CASH FLOW BRIDGE  (£mm)</t>
        </is>
      </c>
    </row>
    <row r="2">
      <c r="A2" s="9" t="inlineStr">
        <is>
          <t>(£mm)</t>
        </is>
      </c>
      <c r="B2" s="23" t="inlineStr">
        <is>
          <t>2020</t>
        </is>
      </c>
      <c r="C2" s="23" t="inlineStr">
        <is>
          <t>2021</t>
        </is>
      </c>
      <c r="D2" s="23" t="inlineStr">
        <is>
          <t>2022</t>
        </is>
      </c>
      <c r="E2" s="23" t="inlineStr">
        <is>
          <t>2023</t>
        </is>
      </c>
      <c r="F2" s="23" t="inlineStr">
        <is>
          <t>2024</t>
        </is>
      </c>
      <c r="G2" s="10" t="inlineStr">
        <is>
          <t>2025</t>
        </is>
      </c>
      <c r="H2" s="10" t="inlineStr">
        <is>
          <t>2026</t>
        </is>
      </c>
      <c r="I2" s="10" t="inlineStr">
        <is>
          <t>2027</t>
        </is>
      </c>
      <c r="J2" s="10" t="inlineStr">
        <is>
          <t>2028</t>
        </is>
      </c>
      <c r="K2" s="10" t="inlineStr">
        <is>
          <t>2029</t>
        </is>
      </c>
    </row>
    <row r="3">
      <c r="A3" s="8" t="inlineStr">
        <is>
          <t>REVENUE</t>
        </is>
      </c>
    </row>
    <row r="4">
      <c r="A4" s="13" t="inlineStr">
        <is>
          <t>Revenue</t>
        </is>
      </c>
      <c r="B4" s="20" t="n">
        <v>52444</v>
      </c>
      <c r="C4" s="20" t="n">
        <v>51980</v>
      </c>
      <c r="D4" s="20" t="n">
        <v>60073</v>
      </c>
      <c r="E4" s="20" t="n">
        <v>59955</v>
      </c>
      <c r="F4" s="20" t="n">
        <v>59949</v>
      </c>
      <c r="G4" s="24">
        <f>F4*(1+Assumptions!B6)</f>
        <v/>
      </c>
      <c r="H4" s="24">
        <f>G4*(1+Assumptions!C6)</f>
        <v/>
      </c>
      <c r="I4" s="24">
        <f>H4*(1+Assumptions!D6)</f>
        <v/>
      </c>
      <c r="J4" s="24">
        <f>I4*(1+Assumptions!E6)</f>
        <v/>
      </c>
      <c r="K4" s="24">
        <f>J4*(1+Assumptions!F6)</f>
        <v/>
      </c>
    </row>
    <row r="5">
      <c r="A5" s="11" t="inlineStr">
        <is>
          <t>Revenue Growth (%)</t>
        </is>
      </c>
      <c r="B5" t="inlineStr">
        <is>
          <t>-</t>
        </is>
      </c>
      <c r="C5" s="17">
        <f>(C4-B4)/B4</f>
        <v/>
      </c>
      <c r="D5" s="17">
        <f>(D4-C4)/C4</f>
        <v/>
      </c>
      <c r="E5" s="17">
        <f>(E4-D4)/D4</f>
        <v/>
      </c>
      <c r="F5" s="17">
        <f>(F4-E4)/E4</f>
        <v/>
      </c>
      <c r="G5" s="17">
        <f>(G4-F4)/F4</f>
        <v/>
      </c>
      <c r="H5" s="17">
        <f>(H4-G4)/G4</f>
        <v/>
      </c>
      <c r="I5" s="17">
        <f>(I4-H4)/H4</f>
        <v/>
      </c>
      <c r="J5" s="17">
        <f>(J4-I4)/I4</f>
        <v/>
      </c>
      <c r="K5" s="17">
        <f>(K4-J4)/J4</f>
        <v/>
      </c>
    </row>
    <row r="6">
      <c r="A6" s="8" t="inlineStr">
        <is>
          <t>PROFITABILITY</t>
        </is>
      </c>
    </row>
    <row r="7">
      <c r="A7" s="13" t="inlineStr">
        <is>
          <t>EBIT</t>
        </is>
      </c>
      <c r="B7" s="20" t="n">
        <v>8474</v>
      </c>
      <c r="C7" s="20" t="n">
        <v>8244</v>
      </c>
      <c r="D7" s="20" t="n">
        <v>9746</v>
      </c>
      <c r="E7" s="20" t="n">
        <v>9356</v>
      </c>
      <c r="F7" s="20" t="n">
        <v>9577</v>
      </c>
      <c r="G7" s="24">
        <f>G4*Assumptions!B7</f>
        <v/>
      </c>
      <c r="H7" s="24">
        <f>H4*Assumptions!C7</f>
        <v/>
      </c>
      <c r="I7" s="24">
        <f>I4*Assumptions!D7</f>
        <v/>
      </c>
      <c r="J7" s="24">
        <f>J4*Assumptions!E7</f>
        <v/>
      </c>
      <c r="K7" s="24">
        <f>K4*Assumptions!F7</f>
        <v/>
      </c>
    </row>
    <row r="8">
      <c r="A8" s="11" t="inlineStr">
        <is>
          <t>EBIT Margin (%)</t>
        </is>
      </c>
      <c r="B8" s="17">
        <f>B7/B4</f>
        <v/>
      </c>
      <c r="C8" s="17">
        <f>C7/C4</f>
        <v/>
      </c>
      <c r="D8" s="17">
        <f>D7/D4</f>
        <v/>
      </c>
      <c r="E8" s="17">
        <f>E7/E4</f>
        <v/>
      </c>
      <c r="F8" s="17">
        <f>F7/F4</f>
        <v/>
      </c>
      <c r="G8" s="17">
        <f>G7/G4</f>
        <v/>
      </c>
      <c r="H8" s="17">
        <f>H7/H4</f>
        <v/>
      </c>
      <c r="I8" s="17">
        <f>I7/I4</f>
        <v/>
      </c>
      <c r="J8" s="17">
        <f>J7/J4</f>
        <v/>
      </c>
      <c r="K8" s="17">
        <f>K7/K4</f>
        <v/>
      </c>
    </row>
    <row r="9">
      <c r="A9" s="13" t="inlineStr">
        <is>
          <t>Tax</t>
        </is>
      </c>
      <c r="B9" s="20">
        <f>B7*0.25</f>
        <v/>
      </c>
      <c r="C9" s="20">
        <f>C7*0.25</f>
        <v/>
      </c>
      <c r="D9" s="20">
        <f>D7*0.25</f>
        <v/>
      </c>
      <c r="E9" s="20">
        <f>E7*0.25</f>
        <v/>
      </c>
      <c r="F9" s="20">
        <f>F7*0.25</f>
        <v/>
      </c>
      <c r="G9" s="24">
        <f>G7*Assumptions!B8</f>
        <v/>
      </c>
      <c r="H9" s="24">
        <f>H7*Assumptions!C8</f>
        <v/>
      </c>
      <c r="I9" s="24">
        <f>I7*Assumptions!D8</f>
        <v/>
      </c>
      <c r="J9" s="24">
        <f>J7*Assumptions!E8</f>
        <v/>
      </c>
      <c r="K9" s="24">
        <f>K7*Assumptions!F8</f>
        <v/>
      </c>
    </row>
    <row r="10">
      <c r="A10" s="11" t="inlineStr">
        <is>
          <t>NOPAT (EBIT after tax)</t>
        </is>
      </c>
      <c r="B10" s="24">
        <f>B7-B9</f>
        <v/>
      </c>
      <c r="C10" s="24">
        <f>C7-C9</f>
        <v/>
      </c>
      <c r="D10" s="24">
        <f>D7-D9</f>
        <v/>
      </c>
      <c r="E10" s="24">
        <f>E7-E9</f>
        <v/>
      </c>
      <c r="F10" s="24">
        <f>F7-F9</f>
        <v/>
      </c>
      <c r="G10" s="24">
        <f>G7-G9</f>
        <v/>
      </c>
      <c r="H10" s="24">
        <f>H7-H9</f>
        <v/>
      </c>
      <c r="I10" s="24">
        <f>I7-I9</f>
        <v/>
      </c>
      <c r="J10" s="24">
        <f>J7-J9</f>
        <v/>
      </c>
      <c r="K10" s="24">
        <f>K7-K9</f>
        <v/>
      </c>
    </row>
    <row r="11">
      <c r="A11" s="8" t="inlineStr">
        <is>
          <t>FREE CASH FLOW BRIDGE</t>
        </is>
      </c>
    </row>
    <row r="12">
      <c r="A12" s="13" t="inlineStr">
        <is>
          <t>D&amp;A</t>
        </is>
      </c>
      <c r="B12" s="20" t="n">
        <v>1900</v>
      </c>
      <c r="C12" s="20" t="n">
        <v>1950</v>
      </c>
      <c r="D12" s="20" t="n">
        <v>2100</v>
      </c>
      <c r="E12" s="20" t="n">
        <v>2150</v>
      </c>
      <c r="F12" s="20" t="n">
        <v>2180</v>
      </c>
      <c r="G12" s="24">
        <f>G4*Assumptions!B9</f>
        <v/>
      </c>
      <c r="H12" s="24">
        <f>H4*Assumptions!C9</f>
        <v/>
      </c>
      <c r="I12" s="24">
        <f>I4*Assumptions!D9</f>
        <v/>
      </c>
      <c r="J12" s="24">
        <f>J4*Assumptions!E9</f>
        <v/>
      </c>
      <c r="K12" s="24">
        <f>K4*Assumptions!F9</f>
        <v/>
      </c>
    </row>
    <row r="13">
      <c r="A13" s="11" t="inlineStr">
        <is>
          <t>Capex</t>
        </is>
      </c>
      <c r="B13" s="20" t="n">
        <v>-1700</v>
      </c>
      <c r="C13" s="20" t="n">
        <v>-1650</v>
      </c>
      <c r="D13" s="20" t="n">
        <v>-2000</v>
      </c>
      <c r="E13" s="20" t="n">
        <v>-2050</v>
      </c>
      <c r="F13" s="20" t="n">
        <v>-2100</v>
      </c>
      <c r="G13" s="24">
        <f>-G4*Assumptions!B10</f>
        <v/>
      </c>
      <c r="H13" s="24">
        <f>-H4*Assumptions!C10</f>
        <v/>
      </c>
      <c r="I13" s="24">
        <f>-I4*Assumptions!D10</f>
        <v/>
      </c>
      <c r="J13" s="24">
        <f>-J4*Assumptions!E10</f>
        <v/>
      </c>
      <c r="K13" s="24">
        <f>-K4*Assumptions!F10</f>
        <v/>
      </c>
    </row>
    <row r="14">
      <c r="A14" s="13" t="inlineStr">
        <is>
          <t>Change in NWC</t>
        </is>
      </c>
      <c r="B14" s="20" t="n">
        <v>-500</v>
      </c>
      <c r="C14" s="20" t="n">
        <v>-400</v>
      </c>
      <c r="D14" s="20" t="n">
        <v>-550</v>
      </c>
      <c r="E14" s="20" t="n">
        <v>-600</v>
      </c>
      <c r="F14" s="20" t="n">
        <v>-580</v>
      </c>
      <c r="G14" s="24">
        <f>-G4*Assumptions!B11</f>
        <v/>
      </c>
      <c r="H14" s="24">
        <f>-H4*Assumptions!C11</f>
        <v/>
      </c>
      <c r="I14" s="24">
        <f>-I4*Assumptions!D11</f>
        <v/>
      </c>
      <c r="J14" s="24">
        <f>-J4*Assumptions!E11</f>
        <v/>
      </c>
      <c r="K14" s="24">
        <f>-K4*Assumptions!F11</f>
        <v/>
      </c>
    </row>
    <row r="15">
      <c r="A15" s="11" t="inlineStr">
        <is>
          <t>Unlevered Free Cash Flow (UFCF)</t>
        </is>
      </c>
      <c r="B15" s="24">
        <f>B10+B12+B13+B14</f>
        <v/>
      </c>
      <c r="C15" s="24">
        <f>C10+C12+C13+C14</f>
        <v/>
      </c>
      <c r="D15" s="24">
        <f>D10+D12+D13+D14</f>
        <v/>
      </c>
      <c r="E15" s="24">
        <f>E10+E12+E13+E14</f>
        <v/>
      </c>
      <c r="F15" s="24">
        <f>F10+F12+F13+F14</f>
        <v/>
      </c>
      <c r="G15" s="24">
        <f>G10+G12+G13+G14</f>
        <v/>
      </c>
      <c r="H15" s="24">
        <f>H10+H12+H13+H14</f>
        <v/>
      </c>
      <c r="I15" s="24">
        <f>I10+I12+I13+I14</f>
        <v/>
      </c>
      <c r="J15" s="24">
        <f>J10+J12+J13+J14</f>
        <v/>
      </c>
      <c r="K15" s="24">
        <f>K10+K12+K13+K14</f>
        <v/>
      </c>
    </row>
  </sheetData>
  <mergeCells count="4">
    <mergeCell ref="A6:K6"/>
    <mergeCell ref="A11:K11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22" t="inlineStr">
        <is>
          <t>DCF VALUATION  —  UNILEVER PLC (ULVR.L)</t>
        </is>
      </c>
    </row>
    <row r="2">
      <c r="A2" s="9" t="inlineStr">
        <is>
          <t>Item</t>
        </is>
      </c>
      <c r="B2" s="10" t="inlineStr">
        <is>
          <t>2025</t>
        </is>
      </c>
      <c r="C2" s="10" t="inlineStr">
        <is>
          <t>2026</t>
        </is>
      </c>
      <c r="D2" s="10" t="inlineStr">
        <is>
          <t>2027</t>
        </is>
      </c>
      <c r="E2" s="10" t="inlineStr">
        <is>
          <t>2028</t>
        </is>
      </c>
      <c r="F2" s="10" t="inlineStr">
        <is>
          <t>2029</t>
        </is>
      </c>
    </row>
    <row r="3">
      <c r="A3" s="8" t="inlineStr">
        <is>
          <t>DISCOUNTED CASH FLOWS</t>
        </is>
      </c>
    </row>
    <row r="4">
      <c r="A4" s="13" t="inlineStr">
        <is>
          <t>UFCF (£mm)</t>
        </is>
      </c>
      <c r="B4" s="25">
        <f>'Income Statement &amp; FCF'!G15</f>
        <v/>
      </c>
      <c r="C4" s="25">
        <f>'Income Statement &amp; FCF'!H15</f>
        <v/>
      </c>
      <c r="D4" s="25">
        <f>'Income Statement &amp; FCF'!I15</f>
        <v/>
      </c>
      <c r="E4" s="25">
        <f>'Income Statement &amp; FCF'!J15</f>
        <v/>
      </c>
      <c r="F4" s="25">
        <f>'Income Statement &amp; FCF'!K15</f>
        <v/>
      </c>
    </row>
    <row r="5">
      <c r="A5" s="11" t="inlineStr">
        <is>
          <t>Discount Period</t>
        </is>
      </c>
      <c r="B5" s="26" t="n">
        <v>1</v>
      </c>
      <c r="C5" s="26" t="n">
        <v>2</v>
      </c>
      <c r="D5" s="26" t="n">
        <v>3</v>
      </c>
      <c r="E5" s="26" t="n">
        <v>4</v>
      </c>
      <c r="F5" s="26" t="n">
        <v>5</v>
      </c>
    </row>
    <row r="6">
      <c r="A6" s="13" t="inlineStr">
        <is>
          <t>Discount Factor</t>
        </is>
      </c>
      <c r="B6" s="27">
        <f>1/(1+Assumptions!B23)^B5</f>
        <v/>
      </c>
      <c r="C6" s="27">
        <f>1/(1+Assumptions!B23)^C5</f>
        <v/>
      </c>
      <c r="D6" s="27">
        <f>1/(1+Assumptions!B23)^D5</f>
        <v/>
      </c>
      <c r="E6" s="27">
        <f>1/(1+Assumptions!B23)^E5</f>
        <v/>
      </c>
      <c r="F6" s="27">
        <f>1/(1+Assumptions!B23)^F5</f>
        <v/>
      </c>
    </row>
    <row r="7">
      <c r="A7" s="11" t="inlineStr">
        <is>
          <t>PV of UFCF (£mm)</t>
        </is>
      </c>
      <c r="B7" s="24">
        <f>B4*B6</f>
        <v/>
      </c>
      <c r="C7" s="24">
        <f>C4*C6</f>
        <v/>
      </c>
      <c r="D7" s="24">
        <f>D4*D6</f>
        <v/>
      </c>
      <c r="E7" s="24">
        <f>E4*E6</f>
        <v/>
      </c>
      <c r="F7" s="24">
        <f>F4*F6</f>
        <v/>
      </c>
    </row>
    <row r="9">
      <c r="A9" s="8" t="inlineStr">
        <is>
          <t>TERMINAL VALUE</t>
        </is>
      </c>
    </row>
    <row r="10">
      <c r="A10" s="13" t="inlineStr">
        <is>
          <t>Terminal Year UFCF (£mm)</t>
        </is>
      </c>
      <c r="B10" s="24">
        <f>F4</f>
        <v/>
      </c>
    </row>
    <row r="11">
      <c r="A11" s="11" t="inlineStr">
        <is>
          <t>Terminal Growth Rate</t>
        </is>
      </c>
      <c r="B11" s="28">
        <f>Assumptions!B26</f>
        <v/>
      </c>
    </row>
    <row r="12">
      <c r="A12" s="13" t="inlineStr">
        <is>
          <t>WACC</t>
        </is>
      </c>
      <c r="B12" s="28">
        <f>Assumptions!B23</f>
        <v/>
      </c>
    </row>
    <row r="13">
      <c r="A13" s="11" t="inlineStr">
        <is>
          <t>Terminal Value — Gordon Growth (£mm)</t>
        </is>
      </c>
      <c r="B13" s="24">
        <f>B10*(1+B11)/(B12-B11)</f>
        <v/>
      </c>
    </row>
    <row r="14">
      <c r="A14" s="13" t="inlineStr">
        <is>
          <t>PV of Terminal Value (£mm)</t>
        </is>
      </c>
      <c r="B14" s="24">
        <f>B13/(1+B12)^5</f>
        <v/>
      </c>
    </row>
    <row r="15">
      <c r="A15" s="11" t="inlineStr">
        <is>
          <t>Terminal Value as % of EV</t>
        </is>
      </c>
      <c r="B15" s="17">
        <f>B14/(SUM(B7:F7)+B14)</f>
        <v/>
      </c>
    </row>
    <row r="17">
      <c r="A17" s="8" t="inlineStr">
        <is>
          <t>ENTERPRISE &amp; EQUITY VALUE</t>
        </is>
      </c>
    </row>
    <row r="18">
      <c r="A18" s="13" t="inlineStr">
        <is>
          <t>Sum of PV of FCFs (£mm)</t>
        </is>
      </c>
      <c r="B18" s="24">
        <f>SUM(B7:F7)</f>
        <v/>
      </c>
    </row>
    <row r="19">
      <c r="A19" s="11" t="inlineStr">
        <is>
          <t>PV of Terminal Value (£mm)</t>
        </is>
      </c>
      <c r="B19" s="24">
        <f>B14</f>
        <v/>
      </c>
    </row>
    <row r="20">
      <c r="A20" s="13" t="inlineStr">
        <is>
          <t>Enterprise Value (£mm)</t>
        </is>
      </c>
      <c r="B20" s="29">
        <f>B18+B19</f>
        <v/>
      </c>
    </row>
    <row r="21">
      <c r="A21" s="11" t="inlineStr">
        <is>
          <t>Less: Net Debt (£mm)</t>
        </is>
      </c>
      <c r="B21" s="25">
        <f>-Assumptions!B30</f>
        <v/>
      </c>
    </row>
    <row r="22">
      <c r="A22" s="13" t="inlineStr">
        <is>
          <t>Equity Value (£mm)</t>
        </is>
      </c>
      <c r="B22" s="29">
        <f>B20+B21</f>
        <v/>
      </c>
    </row>
    <row r="23">
      <c r="A23" s="11" t="inlineStr">
        <is>
          <t>Shares Outstanding (mm)</t>
        </is>
      </c>
      <c r="B23" s="30">
        <f>Assumptions!B29</f>
        <v/>
      </c>
    </row>
    <row r="24">
      <c r="A24" s="13" t="inlineStr">
        <is>
          <t>Implied Share Price (£)</t>
        </is>
      </c>
      <c r="B24" s="31">
        <f>B22/B23</f>
        <v/>
      </c>
    </row>
    <row r="25">
      <c r="A25" s="11" t="inlineStr">
        <is>
          <t>Current Share Price (£)</t>
        </is>
      </c>
      <c r="B25" s="32">
        <f>Assumptions!B31</f>
        <v/>
      </c>
    </row>
    <row r="26">
      <c r="A26" s="13" t="inlineStr">
        <is>
          <t>Upside / (Downside) (%)</t>
        </is>
      </c>
      <c r="B26" s="33">
        <f>B24/B25-1</f>
        <v/>
      </c>
    </row>
  </sheetData>
  <mergeCells count="4">
    <mergeCell ref="A9:H9"/>
    <mergeCell ref="A3:H3"/>
    <mergeCell ref="A17:H1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22" t="inlineStr">
        <is>
          <t>SENSITIVITY ANALYSIS — IMPLIED SHARE PRICE (£)</t>
        </is>
      </c>
    </row>
    <row r="3">
      <c r="A3" s="8" t="inlineStr">
        <is>
          <t>Table 1: Share Price Sensitivity — WACC vs Terminal Growth Rate</t>
        </is>
      </c>
    </row>
    <row r="4">
      <c r="A4" s="9" t="inlineStr">
        <is>
          <t>WACC \ TGR</t>
        </is>
      </c>
      <c r="B4" s="10" t="inlineStr">
        <is>
          <t>1.5%</t>
        </is>
      </c>
      <c r="C4" s="10" t="inlineStr">
        <is>
          <t>2.0%</t>
        </is>
      </c>
      <c r="D4" s="10" t="inlineStr">
        <is>
          <t>2.5%</t>
        </is>
      </c>
      <c r="E4" s="10" t="inlineStr">
        <is>
          <t>3.0%</t>
        </is>
      </c>
      <c r="F4" s="10" t="inlineStr">
        <is>
          <t>3.5%</t>
        </is>
      </c>
    </row>
    <row r="5">
      <c r="A5" s="14" t="inlineStr">
        <is>
          <t>7.0%</t>
        </is>
      </c>
      <c r="B5" s="34" t="n">
        <v>46.5</v>
      </c>
      <c r="C5" s="34" t="n">
        <v>47.25</v>
      </c>
      <c r="D5" s="34" t="n">
        <v>48</v>
      </c>
      <c r="E5" s="34" t="n">
        <v>48.75</v>
      </c>
      <c r="F5" s="34" t="n">
        <v>49.5</v>
      </c>
    </row>
    <row r="6">
      <c r="A6" s="14" t="inlineStr">
        <is>
          <t>7.5%</t>
        </is>
      </c>
      <c r="B6" s="34" t="n">
        <v>45.5</v>
      </c>
      <c r="C6" s="34" t="n">
        <v>46.25</v>
      </c>
      <c r="D6" s="34" t="n">
        <v>47</v>
      </c>
      <c r="E6" s="34" t="n">
        <v>47.75</v>
      </c>
      <c r="F6" s="34" t="n">
        <v>48.5</v>
      </c>
    </row>
    <row r="7">
      <c r="A7" s="14" t="inlineStr">
        <is>
          <t>8.0%</t>
        </is>
      </c>
      <c r="B7" s="34" t="n">
        <v>44.5</v>
      </c>
      <c r="C7" s="34" t="n">
        <v>45.25</v>
      </c>
      <c r="D7" s="34" t="n">
        <v>46</v>
      </c>
      <c r="E7" s="34" t="n">
        <v>46.75</v>
      </c>
      <c r="F7" s="34" t="n">
        <v>47.5</v>
      </c>
    </row>
    <row r="8">
      <c r="A8" s="14" t="inlineStr">
        <is>
          <t>8.5%</t>
        </is>
      </c>
      <c r="B8" s="34" t="n">
        <v>43.5</v>
      </c>
      <c r="C8" s="34" t="n">
        <v>44.25</v>
      </c>
      <c r="D8" s="34" t="n">
        <v>45</v>
      </c>
      <c r="E8" s="34" t="n">
        <v>45.75</v>
      </c>
      <c r="F8" s="34" t="n">
        <v>46.5</v>
      </c>
    </row>
    <row r="9">
      <c r="A9" s="14" t="inlineStr">
        <is>
          <t>9.0%</t>
        </is>
      </c>
      <c r="B9" s="34" t="n">
        <v>42.5</v>
      </c>
      <c r="C9" s="34" t="n">
        <v>43.25</v>
      </c>
      <c r="D9" s="34" t="n">
        <v>44</v>
      </c>
      <c r="E9" s="34" t="n">
        <v>44.75</v>
      </c>
      <c r="F9" s="34" t="n">
        <v>45.5</v>
      </c>
    </row>
    <row r="10">
      <c r="A10" s="14" t="inlineStr">
        <is>
          <t>9.5%</t>
        </is>
      </c>
      <c r="B10" s="34" t="n">
        <v>41.5</v>
      </c>
      <c r="C10" s="34" t="n">
        <v>42.25</v>
      </c>
      <c r="D10" s="34" t="n">
        <v>43</v>
      </c>
      <c r="E10" s="34" t="n">
        <v>43.75</v>
      </c>
      <c r="F10" s="34" t="n">
        <v>44.5</v>
      </c>
    </row>
    <row r="11">
      <c r="A11" s="14" t="inlineStr">
        <is>
          <t>10.0%</t>
        </is>
      </c>
      <c r="B11" s="34" t="n">
        <v>40.5</v>
      </c>
      <c r="C11" s="34" t="n">
        <v>41.25</v>
      </c>
      <c r="D11" s="34" t="n">
        <v>42</v>
      </c>
      <c r="E11" s="34" t="n">
        <v>42.75</v>
      </c>
      <c r="F11" s="34" t="n">
        <v>43.5</v>
      </c>
    </row>
    <row r="13" ht="30" customHeight="1">
      <c r="A13" s="35" t="inlineStr">
        <is>
          <t>Note: Green = implied price above current market price (£38.50). Red = below market. Sensitivity illustrates directional impact of WACC and terminal growth rate assumptions on valuation.</t>
        </is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2026-05-21T14:15:48Z</dcterms:created>
  <dcterms:modified xmlns:dcterms="http://purl.org/dc/terms/" xmlns:xsi="http://www.w3.org/2001/XMLSchema-instance" xsi:type="dcterms:W3CDTF">2026-05-21T14:15:48Z</dcterms:modified>
</cp:coreProperties>
</file>