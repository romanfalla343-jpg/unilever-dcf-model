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come Statement &amp; FCF" sheetId="3" state="visible" r:id="rId5"/>
    <sheet name="DCF Valuation" sheetId="4" state="visible" r:id="rId6"/>
    <sheet name="Sensitivity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<sst xmlns="http://schemas.openxmlformats.org/spreadsheetml/2006/main" count="125" uniqueCount="108">
  <si>
    <t xml:space="preserve">DISCOUNTED CASH FLOW MODEL</t>
  </si>
  <si>
    <t xml:space="preserve">UNILEVER PLC  (ULVR.L  ·  LSE)</t>
  </si>
  <si>
    <t xml:space="preserve">Analyst:</t>
  </si>
  <si>
    <t xml:space="preserve">Roman Falla</t>
  </si>
  <si>
    <t xml:space="preserve">Degree:</t>
  </si>
  <si>
    <t xml:space="preserve">BSc Economics &amp; Management, University of Bristol</t>
  </si>
  <si>
    <t xml:space="preserve">Date:</t>
  </si>
  <si>
    <t xml:space="preserve">May 2026</t>
  </si>
  <si>
    <t xml:space="preserve">Model Version:</t>
  </si>
  <si>
    <t xml:space="preserve">1.0</t>
  </si>
  <si>
    <t xml:space="preserve">Currency:</t>
  </si>
  <si>
    <t xml:space="preserve">GBP (£mm unless stated)</t>
  </si>
  <si>
    <t xml:space="preserve">Projection Period:</t>
  </si>
  <si>
    <t xml:space="preserve">FY2025E – FY2029E  (5-year)</t>
  </si>
  <si>
    <t xml:space="preserve">Valuation Method:</t>
  </si>
  <si>
    <t xml:space="preserve">Unlevered DCF + Gordon Growth Terminal Value</t>
  </si>
  <si>
    <t xml:space="preserve">Cross-check:</t>
  </si>
  <si>
    <t xml:space="preserve">EV/EBITDA Exit Multiple</t>
  </si>
  <si>
    <t xml:space="preserve">DISCLAIMER: This model is built for educational and portfolio purposes only. It does not constitute investment advice. All figures are based on publicly available information and analyst estimates.</t>
  </si>
  <si>
    <t xml:space="preserve">UNILEVER PLC (ULVR.L) — DCF VALUATION MODEL</t>
  </si>
  <si>
    <t xml:space="preserve">Roman Falla  ·  BSc Economics &amp; Management, University of Bristol  ·  May 2026</t>
  </si>
  <si>
    <t xml:space="preserve">KEY ASSUMPTIONS</t>
  </si>
  <si>
    <t xml:space="preserve">Assumption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</si>
  <si>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</si>
  <si>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</si>
  <si>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</si>
  <si>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</si>
  <si>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</si>
  <si>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Revenue Growth Rate (%)</t>
  </si>
  <si>
    <t xml:space="preserve">EBIT Margin (%)</t>
  </si>
  <si>
    <t xml:space="preserve">Tax Rate (%)</t>
  </si>
  <si>
    <t xml:space="preserve">D&amp;A as % of Revenue (%)</t>
  </si>
  <si>
    <t xml:space="preserve">Capex as % of Revenue (%)</t>
  </si>
  <si>
    <t xml:space="preserve">Change in NWC as % Rev (%)</t>
  </si>
  <si>
    <t xml:space="preserve">WACC ASSUMPTIONS</t>
  </si>
  <si>
    <t xml:space="preserve">Risk-Free Rate (%)</t>
  </si>
  <si>
    <t xml:space="preserve">Source: UK 10Y Gilt yield, May 2026</t>
  </si>
  <si>
    <t xml:space="preserve">Equity Risk Premium (%)</t>
  </si>
  <si>
    <t xml:space="preserve">Source: Damodaran, Jan 2026</t>
  </si>
  <si>
    <t xml:space="preserve">Beta</t>
  </si>
  <si>
    <t xml:space="preserve">Source: Bloomberg Terminal, 5Y monthly</t>
  </si>
  <si>
    <t xml:space="preserve">Cost of Equity (%)</t>
  </si>
  <si>
    <t xml:space="preserve">Ke = Rf + Beta x ERP</t>
  </si>
  <si>
    <t xml:space="preserve">Cost of Debt (pre-tax) (%)</t>
  </si>
  <si>
    <t xml:space="preserve">Source: Unilever FY2024 Annual Report</t>
  </si>
  <si>
    <t xml:space="preserve">Consistent with income statement</t>
  </si>
  <si>
    <t xml:space="preserve">Cost of Debt (post-tax) (%)</t>
  </si>
  <si>
    <t xml:space="preserve">Kd x (1 - Tax Rate)</t>
  </si>
  <si>
    <t xml:space="preserve">Debt / (Debt + Equity)</t>
  </si>
  <si>
    <t xml:space="preserve">Source: Unilever FY2024 Balance Sheet</t>
  </si>
  <si>
    <t xml:space="preserve">Equity / (Debt + Equity)</t>
  </si>
  <si>
    <t xml:space="preserve">1 - D/(D+E)</t>
  </si>
  <si>
    <t xml:space="preserve">WACC (%)</t>
  </si>
  <si>
    <t xml:space="preserve">Ke x E/V + Kd(1-t) x D/V</t>
  </si>
  <si>
    <t xml:space="preserve">TERMINAL VALUE ASSUMPTIONS</t>
  </si>
  <si>
    <t xml:space="preserve">Terminal Growth Rate (%)</t>
  </si>
  <si>
    <t xml:space="preserve">Gordon Growth Model; below long-run UK nominal GDP</t>
  </si>
  <si>
    <t xml:space="preserve">Exit EV/EBITDA Multiple (cross-check)</t>
  </si>
  <si>
    <t xml:space="preserve">SHARE &amp; BALANCE SHEET DATA</t>
  </si>
  <si>
    <t xml:space="preserve">Shares Outstanding (mm)</t>
  </si>
  <si>
    <t xml:space="preserve">Net Debt (£mm)</t>
  </si>
  <si>
    <t xml:space="preserve">Current Share Price (£)</t>
  </si>
  <si>
    <t xml:space="preserve">Source: LSE, May 2026</t>
  </si>
  <si>
    <t xml:space="preserve">INCOME STATEMENT &amp; FREE CASH FLOW BRIDGE  (£mm)</t>
  </si>
  <si>
    <t xml:space="preserve">(£mm)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</si>
  <si>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</si>
  <si>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</si>
  <si>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</si>
  <si>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</si>
  <si>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</si>
  <si>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REVENUE</t>
  </si>
  <si>
    <t xml:space="preserve">Revenue</t>
  </si>
  <si>
    <t xml:space="preserve">Revenue Growth (%)</t>
  </si>
  <si>
    <t xml:space="preserve">-</t>
  </si>
  <si>
    <t xml:space="preserve">PROFITABILITY</t>
  </si>
  <si>
    <t xml:space="preserve">EBIT</t>
  </si>
  <si>
    <t xml:space="preserve">Tax</t>
  </si>
  <si>
    <t xml:space="preserve">NOPAT (EBIT after tax)</t>
  </si>
  <si>
    <t xml:space="preserve">FREE CASH FLOW BRIDGE</t>
  </si>
  <si>
    <t xml:space="preserve">D&amp;A</t>
  </si>
  <si>
    <t xml:space="preserve">Capex</t>
  </si>
  <si>
    <t xml:space="preserve">Change in NWC</t>
  </si>
  <si>
    <t xml:space="preserve">Unlevered Free Cash Flow (UFCF)</t>
  </si>
  <si>
    <t xml:space="preserve">DCF VALUATION  —  UNILEVER PLC (ULVR.L)</t>
  </si>
  <si>
    <t xml:space="preserve">Item</t>
  </si>
  <si>
    <t xml:space="preserve">DISCOUNTED CASH FLOWS</t>
  </si>
  <si>
    <t xml:space="preserve">UFCF (£mm)</t>
  </si>
  <si>
    <t xml:space="preserve">Discount Period</t>
  </si>
  <si>
    <t xml:space="preserve">Discount Factor</t>
  </si>
  <si>
    <t xml:space="preserve">PV of UFCF (£mm)</t>
  </si>
  <si>
    <t xml:space="preserve">TERMINAL VALUE</t>
  </si>
  <si>
    <t xml:space="preserve">Terminal Year UFCF (£mm)</t>
  </si>
  <si>
    <t xml:space="preserve">Terminal Growth Rate</t>
  </si>
  <si>
    <t xml:space="preserve">WACC</t>
  </si>
  <si>
    <t xml:space="preserve">Terminal Value — Gordon Growth (£mm)</t>
  </si>
  <si>
    <t xml:space="preserve">PV of Terminal Value (£mm)</t>
  </si>
  <si>
    <t xml:space="preserve">Terminal Value as % of EV</t>
  </si>
  <si>
    <t xml:space="preserve">ENTERPRISE &amp; EQUITY VALUE</t>
  </si>
  <si>
    <t xml:space="preserve">Sum of PV of FCFs (£mm)</t>
  </si>
  <si>
    <t xml:space="preserve">Enterprise Value (£mm)</t>
  </si>
  <si>
    <t xml:space="preserve">Less: Net Debt (£mm)</t>
  </si>
  <si>
    <t xml:space="preserve">Equity Value (£mm)</t>
  </si>
  <si>
    <t xml:space="preserve">Implied Share Price (£)</t>
  </si>
  <si>
    <t xml:space="preserve">Upside / (Downside) (%)</t>
  </si>
  <si>
    <t xml:space="preserve">SENSITIVITY ANALYSIS — IMPLIED SHARE PRICE (£)</t>
  </si>
  <si>
    <t xml:space="preserve">Table 1: Share Price Sensitivity — WACC vs Terminal Growth Rate</t>
  </si>
  <si>
    <t xml:space="preserve">WACC \ TGR</t>
  </si>
  <si>
    <t xml:space="preserve">Note: Green = implied price above current market price (Assumptions B32). Red = at or below market. Centre row and column are the model WACC and terminal growth rate, so the middle cell equals the DCF Valuation implied share price.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</si>
</sst>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;\(0.0%\);\-"/>
    <numFmt numFmtId="166" formatCode="0.00"/>
    <numFmt numFmtId="167" formatCode="0.0\x"/>
    <numFmt numFmtId="168" formatCode="#,##0;\(#,##0\);\-"/>
    <numFmt numFmtId="169" formatCode="\£#,##0.0;&quot;(£&quot;#,##0.0\);\-"/>
    <numFmt numFmtId="170" formatCode="\£#,##0.00"/>
    <numFmt numFmtId="171" formatCode="0.0"/>
    <numFmt numFmtId="172" formatCode="0.0000"/>
    <numFmt numFmtId="173" formatCode="0.0%"/>
    <numFmt numFmtId="174" formatCode="\£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6100"/>
      <name val="Arial"/>
      <family val="0"/>
      <charset val="1"/>
    </font>
    <font>
      <i val="true"/>
      <sz val="9"/>
      <color rgb="FF4040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DEEAF1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EEA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6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AF1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61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1:G34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21.75" hidden="false" customHeight="true" outlineLevel="0" collapsed="false"/>
    <row r="2" customFormat="false" ht="21.7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21.75" hidden="false" customHeight="true" outlineLevel="0" collapsed="false">
      <c r="B3" s="2"/>
      <c r="C3" s="2"/>
      <c r="D3" s="2"/>
      <c r="E3" s="2"/>
      <c r="F3" s="2"/>
      <c r="G3" s="2"/>
    </row>
    <row r="4" customFormat="false" ht="21.75" hidden="false" customHeight="true" outlineLevel="0" collapsed="false">
      <c r="B4" s="3" t="s">
        <v>1</v>
      </c>
      <c r="C4" s="3"/>
      <c r="D4" s="3"/>
      <c r="E4" s="3"/>
      <c r="F4" s="3"/>
      <c r="G4" s="3"/>
    </row>
    <row r="5" customFormat="false" ht="21.75" hidden="false" customHeight="true" outlineLevel="0" collapsed="false"/>
    <row r="6" customFormat="false" ht="21.75" hidden="false" customHeight="true" outlineLevel="0" collapsed="false"/>
    <row r="7" customFormat="false" ht="21.75" hidden="false" customHeight="true" outlineLevel="0" collapsed="false">
      <c r="B7" s="4" t="s">
        <v>2</v>
      </c>
      <c r="C7" s="4"/>
      <c r="D7" s="5" t="s">
        <v>3</v>
      </c>
      <c r="E7" s="5"/>
      <c r="F7" s="5"/>
      <c r="G7" s="5"/>
    </row>
    <row r="8" customFormat="false" ht="21.75" hidden="false" customHeight="true" outlineLevel="0" collapsed="false">
      <c r="B8" s="4" t="s">
        <v>4</v>
      </c>
      <c r="C8" s="4"/>
      <c r="D8" s="5" t="s">
        <v>5</v>
      </c>
      <c r="E8" s="5"/>
      <c r="F8" s="5"/>
      <c r="G8" s="5"/>
    </row>
    <row r="9" customFormat="false" ht="21.75" hidden="false" customHeight="true" outlineLevel="0" collapsed="false">
      <c r="B9" s="4" t="s">
        <v>6</v>
      </c>
      <c r="C9" s="4"/>
      <c r="D9" s="5" t="s">
        <v>7</v>
      </c>
      <c r="E9" s="5"/>
      <c r="F9" s="5"/>
      <c r="G9" s="5"/>
    </row>
    <row r="10" customFormat="false" ht="21.75" hidden="false" customHeight="true" outlineLevel="0" collapsed="false">
      <c r="B10" s="4" t="s">
        <v>8</v>
      </c>
      <c r="C10" s="4"/>
      <c r="D10" s="5" t="s">
        <v>9</v>
      </c>
      <c r="E10" s="5"/>
      <c r="F10" s="5"/>
      <c r="G10" s="5"/>
    </row>
    <row r="11" customFormat="false" ht="21.75" hidden="false" customHeight="true" outlineLevel="0" collapsed="false">
      <c r="B11" s="4" t="s">
        <v>10</v>
      </c>
      <c r="C11" s="4"/>
      <c r="D11" s="5" t="s">
        <v>11</v>
      </c>
      <c r="E11" s="5"/>
      <c r="F11" s="5"/>
      <c r="G11" s="5"/>
    </row>
    <row r="12" customFormat="false" ht="21.75" hidden="false" customHeight="true" outlineLevel="0" collapsed="false">
      <c r="B12" s="4" t="s">
        <v>12</v>
      </c>
      <c r="C12" s="4"/>
      <c r="D12" s="5" t="s">
        <v>13</v>
      </c>
      <c r="E12" s="5"/>
      <c r="F12" s="5"/>
      <c r="G12" s="5"/>
    </row>
    <row r="13" customFormat="false" ht="21.75" hidden="false" customHeight="true" outlineLevel="0" collapsed="false">
      <c r="B13" s="4" t="s">
        <v>14</v>
      </c>
      <c r="C13" s="4"/>
      <c r="D13" s="5" t="s">
        <v>15</v>
      </c>
      <c r="E13" s="5"/>
      <c r="F13" s="5"/>
      <c r="G13" s="5"/>
    </row>
    <row r="14" customFormat="false" ht="21.75" hidden="false" customHeight="true" outlineLevel="0" collapsed="false">
      <c r="B14" s="4" t="s">
        <v>16</v>
      </c>
      <c r="C14" s="4"/>
      <c r="D14" s="5" t="s">
        <v>17</v>
      </c>
      <c r="E14" s="5"/>
      <c r="F14" s="5"/>
      <c r="G14" s="5"/>
    </row>
    <row r="15" customFormat="false" ht="21.75" hidden="false" customHeight="true" outlineLevel="0" collapsed="false"/>
    <row r="16" customFormat="false" ht="21.75" hidden="false" customHeight="true" outlineLevel="0" collapsed="false"/>
    <row r="17" customFormat="false" ht="39.75" hidden="false" customHeight="true" outlineLevel="0" collapsed="false">
      <c r="B17" s="6" t="s">
        <v>18</v>
      </c>
      <c r="C17" s="6"/>
      <c r="D17" s="6"/>
      <c r="E17" s="6"/>
      <c r="F17" s="6"/>
      <c r="G17" s="6"/>
    </row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</sheetData>
  <mergeCells count="19">
    <mergeCell ref="B2:G3"/>
    <mergeCell ref="B4:G4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B13:C13"/>
    <mergeCell ref="D13:G13"/>
    <mergeCell ref="B14:C14"/>
    <mergeCell ref="D14:G14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32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50"/>
    <col collapsed="false" customWidth="true" hidden="false" outlineLevel="0" max="6" min="4" style="1" width="16"/>
  </cols>
  <sheetData>
    <row r="1" customFormat="false" ht="30" hidden="false" customHeight="true" outlineLevel="0" collapsed="false">
      <c r="A1" s="7" t="s">
        <v>19</v>
      </c>
      <c r="B1" s="7"/>
      <c r="C1" s="7"/>
      <c r="D1" s="7"/>
      <c r="E1" s="7"/>
      <c r="F1" s="7"/>
    </row>
    <row r="2" customFormat="false" ht="15" hidden="false" customHeight="true" outlineLevel="0" collapsed="false">
      <c r="A2" s="8" t="s">
        <v>20</v>
      </c>
      <c r="B2" s="8"/>
      <c r="C2" s="8"/>
      <c r="D2" s="8"/>
      <c r="E2" s="8"/>
      <c r="F2" s="8"/>
    </row>
    <row r="4" customFormat="false" ht="19.5" hidden="false" customHeight="true" outlineLevel="0" collapsed="false">
      <c r="A4" s="9" t="s">
        <v>21</v>
      </c>
      <c r="B4" s="9"/>
      <c r="C4" s="9"/>
      <c r="D4" s="9"/>
      <c r="E4" s="9"/>
      <c r="F4" s="9"/>
    </row>
    <row r="5" customFormat="false" ht="15" hidden="false" customHeight="true" outlineLevel="0" collapsed="false">
      <c r="A5" s="10" t="s">
        <v>22</v>
      </c>
      <c r="B5" s="11" t="s">
        <v>23</v>
      </c>
      <c r="C5" s="11" t="s">
        <v>24</v>
      </c>
      <c r="D5" s="11" t="s">
        <v>25</v>
      </c>
      <c r="E5" s="11" t="s">
        <v>26</v>
      </c>
      <c r="F5" s="11" t="s">
        <v>27</v>
      </c>
    </row>
    <row r="6" customFormat="false" ht="15" hidden="false" customHeight="true" outlineLevel="0" collapsed="false">
      <c r="A6" s="12" t="s">
        <v>28</v>
      </c>
      <c r="B6" s="13" t="n">
        <v>0.04</v>
      </c>
      <c r="C6" s="13" t="n">
        <v>0.045</v>
      </c>
      <c r="D6" s="13" t="n">
        <v>0.048</v>
      </c>
      <c r="E6" s="13" t="n">
        <v>0.05</v>
      </c>
      <c r="F6" s="13" t="n">
        <v>0.05</v>
      </c>
    </row>
    <row r="7" customFormat="false" ht="15" hidden="false" customHeight="true" outlineLevel="0" collapsed="false">
      <c r="A7" s="14" t="s">
        <v>29</v>
      </c>
      <c r="B7" s="13" t="n">
        <v>0.16</v>
      </c>
      <c r="C7" s="13" t="n">
        <v>0.162</v>
      </c>
      <c r="D7" s="13" t="n">
        <v>0.165</v>
      </c>
      <c r="E7" s="13" t="n">
        <v>0.167</v>
      </c>
      <c r="F7" s="13" t="n">
        <v>0.17</v>
      </c>
    </row>
    <row r="8" customFormat="false" ht="15" hidden="false" customHeight="true" outlineLevel="0" collapsed="false">
      <c r="A8" s="12" t="s">
        <v>30</v>
      </c>
      <c r="B8" s="15" t="n">
        <v>0.25</v>
      </c>
      <c r="C8" s="15" t="n">
        <v>0.25</v>
      </c>
      <c r="D8" s="15" t="n">
        <v>0.25</v>
      </c>
      <c r="E8" s="15" t="n">
        <v>0.25</v>
      </c>
      <c r="F8" s="15" t="n">
        <v>0.25</v>
      </c>
    </row>
    <row r="9" customFormat="false" ht="15" hidden="false" customHeight="true" outlineLevel="0" collapsed="false">
      <c r="A9" s="14" t="s">
        <v>31</v>
      </c>
      <c r="B9" s="15" t="n">
        <v>0.04</v>
      </c>
      <c r="C9" s="15" t="n">
        <v>0.04</v>
      </c>
      <c r="D9" s="15" t="n">
        <v>0.039</v>
      </c>
      <c r="E9" s="15" t="n">
        <v>0.039</v>
      </c>
      <c r="F9" s="15" t="n">
        <v>0.038</v>
      </c>
    </row>
    <row r="10" customFormat="false" ht="15" hidden="false" customHeight="true" outlineLevel="0" collapsed="false">
      <c r="A10" s="12" t="s">
        <v>32</v>
      </c>
      <c r="B10" s="15" t="n">
        <v>0.035</v>
      </c>
      <c r="C10" s="15" t="n">
        <v>0.035</v>
      </c>
      <c r="D10" s="15" t="n">
        <v>0.034</v>
      </c>
      <c r="E10" s="15" t="n">
        <v>0.034</v>
      </c>
      <c r="F10" s="15" t="n">
        <v>0.033</v>
      </c>
    </row>
    <row r="11" customFormat="false" ht="15" hidden="false" customHeight="true" outlineLevel="0" collapsed="false">
      <c r="A11" s="14" t="s">
        <v>33</v>
      </c>
      <c r="B11" s="15" t="n">
        <v>0.01</v>
      </c>
      <c r="C11" s="15" t="n">
        <v>0.01</v>
      </c>
      <c r="D11" s="15" t="n">
        <v>0.01</v>
      </c>
      <c r="E11" s="15" t="n">
        <v>0.01</v>
      </c>
      <c r="F11" s="15" t="n">
        <v>0.01</v>
      </c>
    </row>
    <row r="13" customFormat="false" ht="19.5" hidden="false" customHeight="true" outlineLevel="0" collapsed="false">
      <c r="A13" s="9" t="s">
        <v>34</v>
      </c>
      <c r="B13" s="9"/>
      <c r="C13" s="9"/>
      <c r="D13" s="9"/>
      <c r="E13" s="9"/>
      <c r="F13" s="9"/>
    </row>
    <row r="14" customFormat="false" ht="15" hidden="false" customHeight="true" outlineLevel="0" collapsed="false">
      <c r="A14" s="12" t="s">
        <v>35</v>
      </c>
      <c r="B14" s="13" t="n">
        <v>0.045</v>
      </c>
      <c r="C14" s="16" t="s">
        <v>36</v>
      </c>
    </row>
    <row r="15" customFormat="false" ht="15" hidden="false" customHeight="true" outlineLevel="0" collapsed="false">
      <c r="A15" s="14" t="s">
        <v>37</v>
      </c>
      <c r="B15" s="13" t="n">
        <v>0.05</v>
      </c>
      <c r="C15" s="16" t="s">
        <v>38</v>
      </c>
    </row>
    <row r="16" customFormat="false" ht="15" hidden="false" customHeight="true" outlineLevel="0" collapsed="false">
      <c r="A16" s="12" t="s">
        <v>39</v>
      </c>
      <c r="B16" s="17" t="n">
        <v>0.65</v>
      </c>
      <c r="C16" s="16" t="s">
        <v>40</v>
      </c>
    </row>
    <row r="17" customFormat="false" ht="15" hidden="false" customHeight="true" outlineLevel="0" collapsed="false">
      <c r="A17" s="14" t="s">
        <v>41</v>
      </c>
      <c r="B17" s="18" t="n">
        <f aca="false">B14+B16*B15</f>
        <v>0.0775</v>
      </c>
      <c r="C17" s="16" t="s">
        <v>42</v>
      </c>
    </row>
    <row r="18" customFormat="false" ht="15" hidden="false" customHeight="true" outlineLevel="0" collapsed="false">
      <c r="A18" s="12" t="s">
        <v>43</v>
      </c>
      <c r="B18" s="15" t="n">
        <v>0.04</v>
      </c>
      <c r="C18" s="16" t="s">
        <v>44</v>
      </c>
    </row>
    <row r="19" customFormat="false" ht="15" hidden="false" customHeight="true" outlineLevel="0" collapsed="false">
      <c r="A19" s="14" t="s">
        <v>30</v>
      </c>
      <c r="B19" s="15" t="n">
        <v>0.25</v>
      </c>
      <c r="C19" s="16" t="s">
        <v>45</v>
      </c>
    </row>
    <row r="20" customFormat="false" ht="15" hidden="false" customHeight="true" outlineLevel="0" collapsed="false">
      <c r="A20" s="12" t="s">
        <v>46</v>
      </c>
      <c r="B20" s="18" t="n">
        <f aca="false">B18*(1-B19)</f>
        <v>0.03</v>
      </c>
      <c r="C20" s="16" t="s">
        <v>47</v>
      </c>
    </row>
    <row r="21" customFormat="false" ht="15" hidden="false" customHeight="true" outlineLevel="0" collapsed="false">
      <c r="A21" s="14" t="s">
        <v>48</v>
      </c>
      <c r="B21" s="15" t="n">
        <v>0.3</v>
      </c>
      <c r="C21" s="16" t="s">
        <v>49</v>
      </c>
    </row>
    <row r="22" customFormat="false" ht="15" hidden="false" customHeight="true" outlineLevel="0" collapsed="false">
      <c r="A22" s="12" t="s">
        <v>50</v>
      </c>
      <c r="B22" s="18" t="n">
        <f aca="false">1-B21</f>
        <v>0.7</v>
      </c>
      <c r="C22" s="16" t="s">
        <v>51</v>
      </c>
    </row>
    <row r="23" customFormat="false" ht="15" hidden="false" customHeight="true" outlineLevel="0" collapsed="false">
      <c r="A23" s="14" t="s">
        <v>52</v>
      </c>
      <c r="B23" s="18" t="n">
        <f aca="false">B17*B22+B20*B21</f>
        <v>0.06325</v>
      </c>
      <c r="C23" s="16" t="s">
        <v>53</v>
      </c>
    </row>
    <row r="25" customFormat="false" ht="19.5" hidden="false" customHeight="true" outlineLevel="0" collapsed="false">
      <c r="A25" s="9" t="s">
        <v>54</v>
      </c>
      <c r="B25" s="9"/>
      <c r="C25" s="9"/>
      <c r="D25" s="9"/>
      <c r="E25" s="9"/>
      <c r="F25" s="9"/>
    </row>
    <row r="26" customFormat="false" ht="15" hidden="false" customHeight="true" outlineLevel="0" collapsed="false">
      <c r="A26" s="14" t="s">
        <v>55</v>
      </c>
      <c r="B26" s="13" t="n">
        <v>0.025</v>
      </c>
      <c r="C26" s="16" t="s">
        <v>56</v>
      </c>
    </row>
    <row r="27" customFormat="false" ht="15" hidden="false" customHeight="true" outlineLevel="0" collapsed="false">
      <c r="A27" s="14" t="s">
        <v>57</v>
      </c>
      <c r="B27" s="19" t="n">
        <v>12</v>
      </c>
    </row>
    <row r="29" customFormat="false" ht="19.5" hidden="false" customHeight="true" outlineLevel="0" collapsed="false">
      <c r="A29" s="9" t="s">
        <v>58</v>
      </c>
      <c r="B29" s="9"/>
      <c r="C29" s="9"/>
      <c r="D29" s="9"/>
      <c r="E29" s="9"/>
      <c r="F29" s="9"/>
    </row>
    <row r="30" customFormat="false" ht="15" hidden="false" customHeight="true" outlineLevel="0" collapsed="false">
      <c r="A30" s="12" t="s">
        <v>59</v>
      </c>
      <c r="B30" s="20" t="n">
        <v>2587</v>
      </c>
      <c r="C30" s="16" t="s">
        <v>44</v>
      </c>
    </row>
    <row r="31" customFormat="false" ht="15" hidden="false" customHeight="true" outlineLevel="0" collapsed="false">
      <c r="A31" s="14" t="s">
        <v>60</v>
      </c>
      <c r="B31" s="21" t="n">
        <v>9800</v>
      </c>
      <c r="C31" s="16" t="s">
        <v>49</v>
      </c>
    </row>
    <row r="32" customFormat="false" ht="15" hidden="false" customHeight="true" outlineLevel="0" collapsed="false">
      <c r="A32" s="12" t="s">
        <v>61</v>
      </c>
      <c r="B32" s="22" t="n">
        <v>38.5</v>
      </c>
      <c r="C32" s="16" t="s">
        <v>62</v>
      </c>
    </row>
  </sheetData>
  <mergeCells count="6">
    <mergeCell ref="A1:F1"/>
    <mergeCell ref="A2:F2"/>
    <mergeCell ref="A4:F4"/>
    <mergeCell ref="A13:F13"/>
    <mergeCell ref="A25:F25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K15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7.75" hidden="false" customHeight="true" outlineLevel="0" collapsed="false">
      <c r="A1" s="23" t="s">
        <v>63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customFormat="false" ht="15" hidden="false" customHeight="true" outlineLevel="0" collapsed="false">
      <c r="A2" s="10" t="s">
        <v>64</v>
      </c>
      <c r="B2" s="24" t="s">
        <v>65</v>
      </c>
      <c r="C2" s="24" t="s">
        <v>66</v>
      </c>
      <c r="D2" s="24" t="s">
        <v>67</v>
      </c>
      <c r="E2" s="24" t="s">
        <v>68</v>
      </c>
      <c r="F2" s="24" t="s">
        <v>69</v>
      </c>
      <c r="G2" s="11" t="s">
        <v>23</v>
      </c>
      <c r="H2" s="11" t="s">
        <v>24</v>
      </c>
      <c r="I2" s="11" t="s">
        <v>25</v>
      </c>
      <c r="J2" s="11" t="s">
        <v>26</v>
      </c>
      <c r="K2" s="11" t="s">
        <v>27</v>
      </c>
    </row>
    <row r="3" customFormat="false" ht="15" hidden="false" customHeight="true" outlineLevel="0" collapsed="false">
      <c r="A3" s="9" t="s">
        <v>70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customFormat="false" ht="15" hidden="false" customHeight="true" outlineLevel="0" collapsed="false">
      <c r="A4" s="14" t="s">
        <v>71</v>
      </c>
      <c r="B4" s="21" t="n">
        <v>52444</v>
      </c>
      <c r="C4" s="21" t="n">
        <v>51980</v>
      </c>
      <c r="D4" s="21" t="n">
        <v>60073</v>
      </c>
      <c r="E4" s="21" t="n">
        <v>59955</v>
      </c>
      <c r="F4" s="21" t="n">
        <v>59949</v>
      </c>
      <c r="G4" s="25" t="n">
        <f aca="false">F4*(1+Assumptions!B6)</f>
        <v>62346.96</v>
      </c>
      <c r="H4" s="25" t="n">
        <f aca="false">G4*(1+Assumptions!C6)</f>
        <v>65152.5732</v>
      </c>
      <c r="I4" s="25" t="n">
        <f aca="false">H4*(1+Assumptions!D6)</f>
        <v>68279.8967136</v>
      </c>
      <c r="J4" s="25" t="n">
        <f aca="false">I4*(1+Assumptions!E6)</f>
        <v>71693.89154928</v>
      </c>
      <c r="K4" s="25" t="n">
        <f aca="false">J4*(1+Assumptions!F6)</f>
        <v>75278.586126744</v>
      </c>
    </row>
    <row r="5" customFormat="false" ht="15" hidden="false" customHeight="true" outlineLevel="0" collapsed="false">
      <c r="A5" s="12" t="s">
        <v>72</v>
      </c>
      <c r="B5" s="1" t="s">
        <v>73</v>
      </c>
      <c r="C5" s="18" t="n">
        <f aca="false">(C4-B4)/B4</f>
        <v>-0.00884753260620853</v>
      </c>
      <c r="D5" s="18" t="n">
        <f aca="false">(D4-C4)/C4</f>
        <v>0.155694497883801</v>
      </c>
      <c r="E5" s="18" t="n">
        <f aca="false">(E4-D4)/D4</f>
        <v>-0.00196427679656418</v>
      </c>
      <c r="F5" s="18" t="n">
        <f aca="false">(F4-E4)/E4</f>
        <v>-0.000100075056292219</v>
      </c>
      <c r="G5" s="18" t="n">
        <f aca="false">(G4-F4)/F4</f>
        <v>0.04</v>
      </c>
      <c r="H5" s="18" t="n">
        <f aca="false">(H4-G4)/G4</f>
        <v>0.0449999999999999</v>
      </c>
      <c r="I5" s="18" t="n">
        <f aca="false">(I4-H4)/H4</f>
        <v>0.0480000000000001</v>
      </c>
      <c r="J5" s="18" t="n">
        <f aca="false">(J4-I4)/I4</f>
        <v>0.05</v>
      </c>
      <c r="K5" s="18" t="n">
        <f aca="false">(K4-J4)/J4</f>
        <v>0.0500000000000001</v>
      </c>
    </row>
    <row r="6" customFormat="false" ht="15" hidden="false" customHeight="true" outlineLevel="0" collapsed="false">
      <c r="A6" s="9" t="s">
        <v>74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false" ht="15" hidden="false" customHeight="true" outlineLevel="0" collapsed="false">
      <c r="A7" s="14" t="s">
        <v>75</v>
      </c>
      <c r="B7" s="21" t="n">
        <v>8474</v>
      </c>
      <c r="C7" s="21" t="n">
        <v>8244</v>
      </c>
      <c r="D7" s="21" t="n">
        <v>9746</v>
      </c>
      <c r="E7" s="21" t="n">
        <v>9356</v>
      </c>
      <c r="F7" s="21" t="n">
        <v>9577</v>
      </c>
      <c r="G7" s="25" t="n">
        <f aca="false">G4*Assumptions!B7</f>
        <v>9975.5136</v>
      </c>
      <c r="H7" s="25" t="n">
        <f aca="false">H4*Assumptions!C7</f>
        <v>10554.7168584</v>
      </c>
      <c r="I7" s="25" t="n">
        <f aca="false">I4*Assumptions!D7</f>
        <v>11266.182957744</v>
      </c>
      <c r="J7" s="25" t="n">
        <f aca="false">J4*Assumptions!E7</f>
        <v>11972.8798887298</v>
      </c>
      <c r="K7" s="25" t="n">
        <f aca="false">K4*Assumptions!F7</f>
        <v>12797.3596415465</v>
      </c>
    </row>
    <row r="8" customFormat="false" ht="15" hidden="false" customHeight="true" outlineLevel="0" collapsed="false">
      <c r="A8" s="12" t="s">
        <v>29</v>
      </c>
      <c r="B8" s="18" t="n">
        <f aca="false">B7/B4</f>
        <v>0.161581877812524</v>
      </c>
      <c r="C8" s="18" t="n">
        <f aca="false">C7/C4</f>
        <v>0.158599461331281</v>
      </c>
      <c r="D8" s="18" t="n">
        <f aca="false">D7/D4</f>
        <v>0.162235946265377</v>
      </c>
      <c r="E8" s="18" t="n">
        <f aca="false">E7/E4</f>
        <v>0.156050371111667</v>
      </c>
      <c r="F8" s="18" t="n">
        <f aca="false">F7/F4</f>
        <v>0.159752456254483</v>
      </c>
      <c r="G8" s="18" t="n">
        <f aca="false">G7/G4</f>
        <v>0.16</v>
      </c>
      <c r="H8" s="18" t="n">
        <f aca="false">H7/H4</f>
        <v>0.162</v>
      </c>
      <c r="I8" s="18" t="n">
        <f aca="false">I7/I4</f>
        <v>0.165</v>
      </c>
      <c r="J8" s="18" t="n">
        <f aca="false">J7/J4</f>
        <v>0.167</v>
      </c>
      <c r="K8" s="18" t="n">
        <f aca="false">K7/K4</f>
        <v>0.17</v>
      </c>
    </row>
    <row r="9" customFormat="false" ht="15" hidden="false" customHeight="true" outlineLevel="0" collapsed="false">
      <c r="A9" s="14" t="s">
        <v>76</v>
      </c>
      <c r="B9" s="21" t="n">
        <f aca="false">B7*0.25</f>
        <v>2118.5</v>
      </c>
      <c r="C9" s="21" t="n">
        <f aca="false">C7*0.25</f>
        <v>2061</v>
      </c>
      <c r="D9" s="21" t="n">
        <f aca="false">D7*0.25</f>
        <v>2436.5</v>
      </c>
      <c r="E9" s="21" t="n">
        <f aca="false">E7*0.25</f>
        <v>2339</v>
      </c>
      <c r="F9" s="21" t="n">
        <f aca="false">F7*0.25</f>
        <v>2394.25</v>
      </c>
      <c r="G9" s="25" t="n">
        <f aca="false">G7*Assumptions!B8</f>
        <v>2493.8784</v>
      </c>
      <c r="H9" s="25" t="n">
        <f aca="false">H7*Assumptions!C8</f>
        <v>2638.6792146</v>
      </c>
      <c r="I9" s="25" t="n">
        <f aca="false">I7*Assumptions!D8</f>
        <v>2816.545739436</v>
      </c>
      <c r="J9" s="25" t="n">
        <f aca="false">J7*Assumptions!E8</f>
        <v>2993.21997218244</v>
      </c>
      <c r="K9" s="25" t="n">
        <f aca="false">K7*Assumptions!F8</f>
        <v>3199.33991038662</v>
      </c>
    </row>
    <row r="10" customFormat="false" ht="15" hidden="false" customHeight="true" outlineLevel="0" collapsed="false">
      <c r="A10" s="12" t="s">
        <v>77</v>
      </c>
      <c r="B10" s="25" t="n">
        <f aca="false">B7-B9</f>
        <v>6355.5</v>
      </c>
      <c r="C10" s="25" t="n">
        <f aca="false">C7-C9</f>
        <v>6183</v>
      </c>
      <c r="D10" s="25" t="n">
        <f aca="false">D7-D9</f>
        <v>7309.5</v>
      </c>
      <c r="E10" s="25" t="n">
        <f aca="false">E7-E9</f>
        <v>7017</v>
      </c>
      <c r="F10" s="25" t="n">
        <f aca="false">F7-F9</f>
        <v>7182.75</v>
      </c>
      <c r="G10" s="25" t="n">
        <f aca="false">G7-G9</f>
        <v>7481.6352</v>
      </c>
      <c r="H10" s="25" t="n">
        <f aca="false">H7-H9</f>
        <v>7916.0376438</v>
      </c>
      <c r="I10" s="25" t="n">
        <f aca="false">I7-I9</f>
        <v>8449.637218308</v>
      </c>
      <c r="J10" s="25" t="n">
        <f aca="false">J7-J9</f>
        <v>8979.65991654732</v>
      </c>
      <c r="K10" s="25" t="n">
        <f aca="false">K7-K9</f>
        <v>9598.01973115986</v>
      </c>
    </row>
    <row r="11" customFormat="false" ht="15" hidden="false" customHeight="true" outlineLevel="0" collapsed="false">
      <c r="A11" s="9" t="s">
        <v>78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true" outlineLevel="0" collapsed="false">
      <c r="A12" s="14" t="s">
        <v>79</v>
      </c>
      <c r="B12" s="21" t="n">
        <v>1900</v>
      </c>
      <c r="C12" s="21" t="n">
        <v>1950</v>
      </c>
      <c r="D12" s="21" t="n">
        <v>2100</v>
      </c>
      <c r="E12" s="21" t="n">
        <v>2150</v>
      </c>
      <c r="F12" s="21" t="n">
        <v>2180</v>
      </c>
      <c r="G12" s="25" t="n">
        <f aca="false">G4*Assumptions!B9</f>
        <v>2493.8784</v>
      </c>
      <c r="H12" s="25" t="n">
        <f aca="false">H4*Assumptions!C9</f>
        <v>2606.102928</v>
      </c>
      <c r="I12" s="25" t="n">
        <f aca="false">I4*Assumptions!D9</f>
        <v>2662.9159718304</v>
      </c>
      <c r="J12" s="25" t="n">
        <f aca="false">J4*Assumptions!E9</f>
        <v>2796.06177042192</v>
      </c>
      <c r="K12" s="25" t="n">
        <f aca="false">K4*Assumptions!F9</f>
        <v>2860.58627281627</v>
      </c>
    </row>
    <row r="13" customFormat="false" ht="15" hidden="false" customHeight="true" outlineLevel="0" collapsed="false">
      <c r="A13" s="12" t="s">
        <v>80</v>
      </c>
      <c r="B13" s="21" t="n">
        <v>-1700</v>
      </c>
      <c r="C13" s="21" t="n">
        <v>-1650</v>
      </c>
      <c r="D13" s="21" t="n">
        <v>-2000</v>
      </c>
      <c r="E13" s="21" t="n">
        <v>-2050</v>
      </c>
      <c r="F13" s="21" t="n">
        <v>-2100</v>
      </c>
      <c r="G13" s="25" t="n">
        <f aca="false">-G4*Assumptions!B10</f>
        <v>-2182.1436</v>
      </c>
      <c r="H13" s="25" t="n">
        <f aca="false">-H4*Assumptions!C10</f>
        <v>-2280.340062</v>
      </c>
      <c r="I13" s="25" t="n">
        <f aca="false">-I4*Assumptions!D10</f>
        <v>-2321.5164882624</v>
      </c>
      <c r="J13" s="25" t="n">
        <f aca="false">-J4*Assumptions!E10</f>
        <v>-2437.59231267552</v>
      </c>
      <c r="K13" s="25" t="n">
        <f aca="false">-K4*Assumptions!F10</f>
        <v>-2484.19334218255</v>
      </c>
    </row>
    <row r="14" customFormat="false" ht="15" hidden="false" customHeight="true" outlineLevel="0" collapsed="false">
      <c r="A14" s="14" t="s">
        <v>81</v>
      </c>
      <c r="B14" s="21" t="n">
        <v>-500</v>
      </c>
      <c r="C14" s="21" t="n">
        <v>-400</v>
      </c>
      <c r="D14" s="21" t="n">
        <v>-550</v>
      </c>
      <c r="E14" s="21" t="n">
        <v>-600</v>
      </c>
      <c r="F14" s="21" t="n">
        <v>-580</v>
      </c>
      <c r="G14" s="25" t="n">
        <f aca="false">-G4*Assumptions!B11</f>
        <v>-623.4696</v>
      </c>
      <c r="H14" s="25" t="n">
        <f aca="false">-H4*Assumptions!C11</f>
        <v>-651.525732</v>
      </c>
      <c r="I14" s="25" t="n">
        <f aca="false">-I4*Assumptions!D11</f>
        <v>-682.798967136</v>
      </c>
      <c r="J14" s="25" t="n">
        <f aca="false">-J4*Assumptions!E11</f>
        <v>-716.9389154928</v>
      </c>
      <c r="K14" s="25" t="n">
        <f aca="false">-K4*Assumptions!F11</f>
        <v>-752.78586126744</v>
      </c>
    </row>
    <row r="15" customFormat="false" ht="15" hidden="false" customHeight="true" outlineLevel="0" collapsed="false">
      <c r="A15" s="12" t="s">
        <v>82</v>
      </c>
      <c r="B15" s="25" t="n">
        <f aca="false">B10+B12+B13+B14</f>
        <v>6055.5</v>
      </c>
      <c r="C15" s="25" t="n">
        <f aca="false">C10+C12+C13+C14</f>
        <v>6083</v>
      </c>
      <c r="D15" s="25" t="n">
        <f aca="false">D10+D12+D13+D14</f>
        <v>6859.5</v>
      </c>
      <c r="E15" s="25" t="n">
        <f aca="false">E10+E12+E13+E14</f>
        <v>6517</v>
      </c>
      <c r="F15" s="25" t="n">
        <f aca="false">F10+F12+F13+F14</f>
        <v>6682.75</v>
      </c>
      <c r="G15" s="25" t="n">
        <f aca="false">G10+G12+G13+G14</f>
        <v>7169.9004</v>
      </c>
      <c r="H15" s="25" t="n">
        <f aca="false">H10+H12+H13+H14</f>
        <v>7590.2747778</v>
      </c>
      <c r="I15" s="25" t="n">
        <f aca="false">I10+I12+I13+I14</f>
        <v>8108.23773474</v>
      </c>
      <c r="J15" s="25" t="n">
        <f aca="false">J10+J12+J13+J14</f>
        <v>8621.19045880092</v>
      </c>
      <c r="K15" s="25" t="n">
        <f aca="false">K10+K12+K13+K14</f>
        <v>9221.62680052614</v>
      </c>
    </row>
  </sheetData>
  <mergeCells count="4">
    <mergeCell ref="A1:K1"/>
    <mergeCell ref="A3:K3"/>
    <mergeCell ref="A6:K6"/>
    <mergeCell ref="A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H26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" min="2" style="1" width="16"/>
  </cols>
  <sheetData>
    <row r="1" customFormat="false" ht="27.75" hidden="false" customHeight="true" outlineLevel="0" collapsed="false">
      <c r="A1" s="23" t="s">
        <v>83</v>
      </c>
      <c r="B1" s="23"/>
      <c r="C1" s="23"/>
      <c r="D1" s="23"/>
      <c r="E1" s="23"/>
      <c r="F1" s="23"/>
      <c r="G1" s="23"/>
      <c r="H1" s="23"/>
    </row>
    <row r="2" customFormat="false" ht="15" hidden="false" customHeight="true" outlineLevel="0" collapsed="false">
      <c r="A2" s="10" t="s">
        <v>84</v>
      </c>
      <c r="B2" s="11" t="s">
        <v>23</v>
      </c>
      <c r="C2" s="11" t="s">
        <v>24</v>
      </c>
      <c r="D2" s="11" t="s">
        <v>25</v>
      </c>
      <c r="E2" s="11" t="s">
        <v>26</v>
      </c>
      <c r="F2" s="11" t="s">
        <v>27</v>
      </c>
    </row>
    <row r="3" customFormat="false" ht="15" hidden="false" customHeight="true" outlineLevel="0" collapsed="false">
      <c r="A3" s="9" t="s">
        <v>85</v>
      </c>
      <c r="B3" s="9"/>
      <c r="C3" s="9"/>
      <c r="D3" s="9"/>
      <c r="E3" s="9"/>
      <c r="F3" s="9"/>
      <c r="G3" s="9"/>
      <c r="H3" s="9"/>
    </row>
    <row r="4" customFormat="false" ht="15" hidden="false" customHeight="true" outlineLevel="0" collapsed="false">
      <c r="A4" s="14" t="s">
        <v>86</v>
      </c>
      <c r="B4" s="26" t="n">
        <f aca="false">'Income Statement &amp; FCF'!G15</f>
        <v>7169.9004</v>
      </c>
      <c r="C4" s="26" t="n">
        <f aca="false">'Income Statement &amp; FCF'!H15</f>
        <v>7590.2747778</v>
      </c>
      <c r="D4" s="26" t="n">
        <f aca="false">'Income Statement &amp; FCF'!I15</f>
        <v>8108.23773474</v>
      </c>
      <c r="E4" s="26" t="n">
        <f aca="false">'Income Statement &amp; FCF'!J15</f>
        <v>8621.19045880092</v>
      </c>
      <c r="F4" s="26" t="n">
        <f aca="false">'Income Statement &amp; FCF'!K15</f>
        <v>9221.62680052614</v>
      </c>
    </row>
    <row r="5" customFormat="false" ht="15" hidden="false" customHeight="true" outlineLevel="0" collapsed="false">
      <c r="A5" s="12" t="s">
        <v>87</v>
      </c>
      <c r="B5" s="27" t="n">
        <v>1</v>
      </c>
      <c r="C5" s="27" t="n">
        <v>2</v>
      </c>
      <c r="D5" s="27" t="n">
        <v>3</v>
      </c>
      <c r="E5" s="27" t="n">
        <v>4</v>
      </c>
      <c r="F5" s="27" t="n">
        <v>5</v>
      </c>
    </row>
    <row r="6" customFormat="false" ht="15" hidden="false" customHeight="true" outlineLevel="0" collapsed="false">
      <c r="A6" s="14" t="s">
        <v>88</v>
      </c>
      <c r="B6" s="28" t="n">
        <f aca="false">1/(1+Assumptions!B23)^B5</f>
        <v>0.940512579355749</v>
      </c>
      <c r="C6" s="28" t="n">
        <f aca="false">1/(1+Assumptions!B23)^C5</f>
        <v>0.884563911926404</v>
      </c>
      <c r="D6" s="28" t="n">
        <f aca="false">1/(1+Assumptions!B23)^D5</f>
        <v>0.831943486410914</v>
      </c>
      <c r="E6" s="28" t="n">
        <f aca="false">1/(1+Assumptions!B23)^E5</f>
        <v>0.782453314282543</v>
      </c>
      <c r="F6" s="28" t="n">
        <f aca="false">1/(1+Assumptions!B23)^F5</f>
        <v>0.735907184841329</v>
      </c>
    </row>
    <row r="7" customFormat="false" ht="15" hidden="false" customHeight="true" outlineLevel="0" collapsed="false">
      <c r="A7" s="12" t="s">
        <v>89</v>
      </c>
      <c r="B7" s="25" t="n">
        <f aca="false">B4*B6</f>
        <v>6743.38151892782</v>
      </c>
      <c r="C7" s="25" t="n">
        <f aca="false">C4*C6</f>
        <v>6714.08315004708</v>
      </c>
      <c r="D7" s="25" t="n">
        <f aca="false">D4*D6</f>
        <v>6745.59556968812</v>
      </c>
      <c r="E7" s="25" t="n">
        <f aca="false">E4*E6</f>
        <v>6745.67904754982</v>
      </c>
      <c r="F7" s="25" t="n">
        <f aca="false">F4*F6</f>
        <v>6786.26141843254</v>
      </c>
    </row>
    <row r="9" customFormat="false" ht="15" hidden="false" customHeight="true" outlineLevel="0" collapsed="false">
      <c r="A9" s="9" t="s">
        <v>90</v>
      </c>
      <c r="B9" s="9"/>
      <c r="C9" s="9"/>
      <c r="D9" s="9"/>
      <c r="E9" s="9"/>
      <c r="F9" s="9"/>
      <c r="G9" s="9"/>
      <c r="H9" s="9"/>
    </row>
    <row r="10" customFormat="false" ht="15" hidden="false" customHeight="true" outlineLevel="0" collapsed="false">
      <c r="A10" s="14" t="s">
        <v>91</v>
      </c>
      <c r="B10" s="25" t="n">
        <f aca="false">F4</f>
        <v>9221.62680052614</v>
      </c>
    </row>
    <row r="11" customFormat="false" ht="15" hidden="false" customHeight="true" outlineLevel="0" collapsed="false">
      <c r="A11" s="12" t="s">
        <v>92</v>
      </c>
      <c r="B11" s="29" t="n">
        <f aca="false">Assumptions!B26</f>
        <v>0.025</v>
      </c>
    </row>
    <row r="12" customFormat="false" ht="15" hidden="false" customHeight="true" outlineLevel="0" collapsed="false">
      <c r="A12" s="14" t="s">
        <v>93</v>
      </c>
      <c r="B12" s="29" t="n">
        <f aca="false">Assumptions!B23</f>
        <v>0.06325</v>
      </c>
    </row>
    <row r="13" customFormat="false" ht="15" hidden="false" customHeight="true" outlineLevel="0" collapsed="false">
      <c r="A13" s="12" t="s">
        <v>94</v>
      </c>
      <c r="B13" s="25" t="n">
        <f aca="false">B10*(1+B11)/(B12-B11)</f>
        <v>247115.489425864</v>
      </c>
    </row>
    <row r="14" customFormat="false" ht="15" hidden="false" customHeight="true" outlineLevel="0" collapsed="false">
      <c r="A14" s="14" t="s">
        <v>95</v>
      </c>
      <c r="B14" s="25" t="n">
        <f aca="false">B13/(1+B12)^5</f>
        <v>181854.064154075</v>
      </c>
    </row>
    <row r="15" customFormat="false" ht="15" hidden="false" customHeight="true" outlineLevel="0" collapsed="false">
      <c r="A15" s="12" t="s">
        <v>96</v>
      </c>
      <c r="B15" s="18" t="n">
        <f aca="false">B14/(SUM(B7:F7)+B14)</f>
        <v>0.843521744821554</v>
      </c>
    </row>
    <row r="17" customFormat="false" ht="15" hidden="false" customHeight="true" outlineLevel="0" collapsed="false">
      <c r="A17" s="9" t="s">
        <v>97</v>
      </c>
      <c r="B17" s="9"/>
      <c r="C17" s="9"/>
      <c r="D17" s="9"/>
      <c r="E17" s="9"/>
      <c r="F17" s="9"/>
      <c r="G17" s="9"/>
      <c r="H17" s="9"/>
    </row>
    <row r="18" customFormat="false" ht="15" hidden="false" customHeight="true" outlineLevel="0" collapsed="false">
      <c r="A18" s="14" t="s">
        <v>98</v>
      </c>
      <c r="B18" s="25" t="n">
        <f aca="false">SUM(B7:F7)</f>
        <v>33735.0007046454</v>
      </c>
    </row>
    <row r="19" customFormat="false" ht="15" hidden="false" customHeight="true" outlineLevel="0" collapsed="false">
      <c r="A19" s="12" t="s">
        <v>95</v>
      </c>
      <c r="B19" s="25" t="n">
        <f aca="false">B14</f>
        <v>181854.064154075</v>
      </c>
    </row>
    <row r="20" customFormat="false" ht="15" hidden="false" customHeight="true" outlineLevel="0" collapsed="false">
      <c r="A20" s="14" t="s">
        <v>99</v>
      </c>
      <c r="B20" s="30" t="n">
        <f aca="false">B18+B19</f>
        <v>215589.06485872</v>
      </c>
    </row>
    <row r="21" customFormat="false" ht="15" hidden="false" customHeight="true" outlineLevel="0" collapsed="false">
      <c r="A21" s="12" t="s">
        <v>100</v>
      </c>
      <c r="B21" s="26" t="n">
        <f aca="false">-Assumptions!B31</f>
        <v>-9800</v>
      </c>
    </row>
    <row r="22" customFormat="false" ht="15" hidden="false" customHeight="true" outlineLevel="0" collapsed="false">
      <c r="A22" s="14" t="s">
        <v>101</v>
      </c>
      <c r="B22" s="30" t="n">
        <f aca="false">B20+B21</f>
        <v>205789.06485872</v>
      </c>
    </row>
    <row r="23" customFormat="false" ht="15" hidden="false" customHeight="true" outlineLevel="0" collapsed="false">
      <c r="A23" s="12" t="s">
        <v>59</v>
      </c>
      <c r="B23" s="31" t="n">
        <f aca="false">Assumptions!B30</f>
        <v>2587</v>
      </c>
    </row>
    <row r="24" customFormat="false" ht="15" hidden="false" customHeight="true" outlineLevel="0" collapsed="false">
      <c r="A24" s="14" t="s">
        <v>102</v>
      </c>
      <c r="B24" s="32" t="n">
        <f aca="false">B22/B23</f>
        <v>79.5473772163587</v>
      </c>
    </row>
    <row r="25" customFormat="false" ht="15" hidden="false" customHeight="true" outlineLevel="0" collapsed="false">
      <c r="A25" s="12" t="s">
        <v>61</v>
      </c>
      <c r="B25" s="33" t="n">
        <f aca="false">Assumptions!B32</f>
        <v>38.5</v>
      </c>
    </row>
    <row r="26" customFormat="false" ht="15" hidden="false" customHeight="true" outlineLevel="0" collapsed="false">
      <c r="A26" s="14" t="s">
        <v>103</v>
      </c>
      <c r="B26" s="34" t="n">
        <f aca="false">B24/B25-1</f>
        <v>1.06616564198334</v>
      </c>
    </row>
  </sheetData>
  <mergeCells count="4">
    <mergeCell ref="A1:H1"/>
    <mergeCell ref="A3:H3"/>
    <mergeCell ref="A9:H9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13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4"/>
  </cols>
  <sheetData>
    <row r="1" customFormat="false" ht="27.75" hidden="false" customHeight="true" outlineLevel="0" collapsed="false">
      <c r="A1" s="23" t="s">
        <v>104</v>
      </c>
      <c r="B1" s="23"/>
      <c r="C1" s="23"/>
      <c r="D1" s="23"/>
      <c r="E1" s="23"/>
      <c r="F1" s="23"/>
      <c r="G1" s="23"/>
      <c r="H1" s="23"/>
    </row>
    <row r="3" customFormat="false" ht="15" hidden="false" customHeight="true" outlineLevel="0" collapsed="false">
      <c r="A3" s="9" t="s">
        <v>105</v>
      </c>
      <c r="B3" s="9"/>
      <c r="C3" s="9"/>
      <c r="D3" s="9"/>
      <c r="E3" s="9"/>
      <c r="F3" s="9"/>
      <c r="G3" s="9"/>
      <c r="H3" s="9"/>
    </row>
    <row r="4" customFormat="false" ht="15" hidden="false" customHeight="true" outlineLevel="0" collapsed="false">
      <c r="A4" s="10" t="s">
        <v>106</v>
      </c>
      <c r="B4" s="35" t="n">
        <f aca="false">Assumptions!$B$26+(0-2)*0.005</f>
        <v>0.015</v>
      </c>
      <c r="C4" s="35" t="n">
        <f aca="false">Assumptions!$B$26+(1-2)*0.005</f>
        <v>0.02</v>
      </c>
      <c r="D4" s="35" t="n">
        <f aca="false">Assumptions!$B$26+(2-2)*0.005</f>
        <v>0.025</v>
      </c>
      <c r="E4" s="35" t="n">
        <f aca="false">Assumptions!$B$26+(3-2)*0.005</f>
        <v>0.03</v>
      </c>
      <c r="F4" s="35" t="n">
        <f aca="false">Assumptions!$B$26+(4-2)*0.005</f>
        <v>0.035</v>
      </c>
    </row>
    <row r="5" customFormat="false" ht="15" hidden="false" customHeight="true" outlineLevel="0" collapsed="false">
      <c r="A5" s="36" t="n">
        <f aca="false">Assumptions!$B$23+(0-3)*0.005</f>
        <v>0.04825</v>
      </c>
      <c r="B5" s="37" t="n">
        <f aca="false">(SUMPRODUCT('DCF Valuation'!$B$4:$F$4/(1+$A5)^'DCF Valuation'!$B$5:$F$5)+'DCF Valuation'!$F$4*(1+B$4)/($A5-B$4)/(1+$A5)^5-Assumptions!$B$31)/Assumptions!$B$30</f>
        <v>95.7961171733868</v>
      </c>
      <c r="C5" s="37" t="n">
        <f aca="false">(SUMPRODUCT('DCF Valuation'!$B$4:$F$4/(1+$A5)^'DCF Valuation'!$B$5:$F$5)+'DCF Valuation'!$F$4*(1+C$4)/($A5-C$4)/(1+$A5)^5-Assumptions!$B$31)/Assumptions!$B$30</f>
        <v>111.511013919438</v>
      </c>
      <c r="D5" s="37" t="n">
        <f aca="false">(SUMPRODUCT('DCF Valuation'!$B$4:$F$4/(1+$A5)^'DCF Valuation'!$B$5:$F$5)+'DCF Valuation'!$F$4*(1+D$4)/($A5-D$4)/(1+$A5)^5-Assumptions!$B$31)/Assumptions!$B$30</f>
        <v>133.985006040135</v>
      </c>
      <c r="E5" s="37" t="n">
        <f aca="false">(SUMPRODUCT('DCF Valuation'!$B$4:$F$4/(1+$A5)^'DCF Valuation'!$B$5:$F$5)+'DCF Valuation'!$F$4*(1+E$4)/($A5-E$4)/(1+$A5)^5-Assumptions!$B$31)/Assumptions!$B$30</f>
        <v>168.773514391351</v>
      </c>
      <c r="F5" s="37" t="n">
        <f aca="false">(SUMPRODUCT('DCF Valuation'!$B$4:$F$4/(1+$A5)^'DCF Valuation'!$B$5:$F$5)+'DCF Valuation'!$F$4*(1+F$4)/($A5-F$4)/(1+$A5)^5-Assumptions!$B$31)/Assumptions!$B$30</f>
        <v>229.817500743484</v>
      </c>
    </row>
    <row r="6" customFormat="false" ht="15" hidden="false" customHeight="true" outlineLevel="0" collapsed="false">
      <c r="A6" s="36" t="n">
        <f aca="false">Assumptions!$B$23+(1-3)*0.005</f>
        <v>0.05325</v>
      </c>
      <c r="B6" s="37" t="n">
        <f aca="false">(SUMPRODUCT('DCF Valuation'!$B$4:$F$4/(1+$A6)^'DCF Valuation'!$B$5:$F$5)+'DCF Valuation'!$F$4*(1+B$4)/($A6-B$4)/(1+$A6)^5-Assumptions!$B$31)/Assumptions!$B$30</f>
        <v>82.6060341773281</v>
      </c>
      <c r="C6" s="37" t="n">
        <f aca="false">(SUMPRODUCT('DCF Valuation'!$B$4:$F$4/(1+$A6)^'DCF Valuation'!$B$5:$F$5)+'DCF Valuation'!$F$4*(1+C$4)/($A6-C$4)/(1+$A6)^5-Assumptions!$B$31)/Assumptions!$B$30</f>
        <v>93.9936329679811</v>
      </c>
      <c r="D6" s="37" t="n">
        <f aca="false">(SUMPRODUCT('DCF Valuation'!$B$4:$F$4/(1+$A6)^'DCF Valuation'!$B$5:$F$5)+'DCF Valuation'!$F$4*(1+D$4)/($A6-D$4)/(1+$A6)^5-Assumptions!$B$31)/Assumptions!$B$30</f>
        <v>109.412240180104</v>
      </c>
      <c r="E6" s="37" t="n">
        <f aca="false">(SUMPRODUCT('DCF Valuation'!$B$4:$F$4/(1+$A6)^'DCF Valuation'!$B$5:$F$5)+'DCF Valuation'!$F$4*(1+E$4)/($A6-E$4)/(1+$A6)^5-Assumptions!$B$31)/Assumptions!$B$30</f>
        <v>131.462506408194</v>
      </c>
      <c r="F6" s="37" t="n">
        <f aca="false">(SUMPRODUCT('DCF Valuation'!$B$4:$F$4/(1+$A6)^'DCF Valuation'!$B$5:$F$5)+'DCF Valuation'!$F$4*(1+F$4)/($A6-F$4)/(1+$A6)^5-Assumptions!$B$31)/Assumptions!$B$30</f>
        <v>165.595110295512</v>
      </c>
    </row>
    <row r="7" customFormat="false" ht="15" hidden="false" customHeight="true" outlineLevel="0" collapsed="false">
      <c r="A7" s="36" t="n">
        <f aca="false">Assumptions!$B$23+(2-3)*0.005</f>
        <v>0.05825</v>
      </c>
      <c r="B7" s="37" t="n">
        <f aca="false">(SUMPRODUCT('DCF Valuation'!$B$4:$F$4/(1+$A7)^'DCF Valuation'!$B$5:$F$5)+'DCF Valuation'!$F$4*(1+B$4)/($A7-B$4)/(1+$A7)^5-Assumptions!$B$31)/Assumptions!$B$30</f>
        <v>72.4685930874571</v>
      </c>
      <c r="C7" s="37" t="n">
        <f aca="false">(SUMPRODUCT('DCF Valuation'!$B$4:$F$4/(1+$A7)^'DCF Valuation'!$B$5:$F$5)+'DCF Valuation'!$F$4*(1+C$4)/($A7-C$4)/(1+$A7)^5-Assumptions!$B$31)/Assumptions!$B$30</f>
        <v>81.0589351606767</v>
      </c>
      <c r="D7" s="37" t="n">
        <f aca="false">(SUMPRODUCT('DCF Valuation'!$B$4:$F$4/(1+$A7)^'DCF Valuation'!$B$5:$F$5)+'DCF Valuation'!$F$4*(1+D$4)/($A7-D$4)/(1+$A7)^5-Assumptions!$B$31)/Assumptions!$B$30</f>
        <v>92.2328387596767</v>
      </c>
      <c r="E7" s="37" t="n">
        <f aca="false">(SUMPRODUCT('DCF Valuation'!$B$4:$F$4/(1+$A7)^'DCF Valuation'!$B$5:$F$5)+'DCF Valuation'!$F$4*(1+E$4)/($A7-E$4)/(1+$A7)^5-Assumptions!$B$31)/Assumptions!$B$30</f>
        <v>107.362106464517</v>
      </c>
      <c r="F7" s="37" t="n">
        <f aca="false">(SUMPRODUCT('DCF Valuation'!$B$4:$F$4/(1+$A7)^'DCF Valuation'!$B$5:$F$5)+'DCF Valuation'!$F$4*(1+F$4)/($A7-F$4)/(1+$A7)^5-Assumptions!$B$31)/Assumptions!$B$30</f>
        <v>128.998586085419</v>
      </c>
    </row>
    <row r="8" customFormat="false" ht="15" hidden="false" customHeight="true" outlineLevel="0" collapsed="false">
      <c r="A8" s="36" t="n">
        <f aca="false">Assumptions!$B$23+(3-3)*0.005</f>
        <v>0.06325</v>
      </c>
      <c r="B8" s="37" t="n">
        <f aca="false">(SUMPRODUCT('DCF Valuation'!$B$4:$F$4/(1+$A8)^'DCF Valuation'!$B$5:$F$5)+'DCF Valuation'!$F$4*(1+B$4)/($A8-B$4)/(1+$A8)^5-Assumptions!$B$31)/Assumptions!$B$30</f>
        <v>64.4347214246455</v>
      </c>
      <c r="C8" s="37" t="n">
        <f aca="false">(SUMPRODUCT('DCF Valuation'!$B$4:$F$4/(1+$A8)^'DCF Valuation'!$B$5:$F$5)+'DCF Valuation'!$F$4*(1+C$4)/($A8-C$4)/(1+$A8)^5-Assumptions!$B$31)/Assumptions!$B$30</f>
        <v>71.117485401906</v>
      </c>
      <c r="D8" s="37" t="n">
        <f aca="false">(SUMPRODUCT('DCF Valuation'!$B$4:$F$4/(1+$A8)^'DCF Valuation'!$B$5:$F$5)+'DCF Valuation'!$F$4*(1+D$4)/($A8-D$4)/(1+$A8)^5-Assumptions!$B$31)/Assumptions!$B$30</f>
        <v>79.5473772163587</v>
      </c>
      <c r="E8" s="37" t="n">
        <f aca="false">(SUMPRODUCT('DCF Valuation'!$B$4:$F$4/(1+$A8)^'DCF Valuation'!$B$5:$F$5)+'DCF Valuation'!$F$4*(1+E$4)/($A8-E$4)/(1+$A8)^5-Assumptions!$B$31)/Assumptions!$B$30</f>
        <v>90.5125748396694</v>
      </c>
      <c r="F8" s="37" t="n">
        <f aca="false">(SUMPRODUCT('DCF Valuation'!$B$4:$F$4/(1+$A8)^'DCF Valuation'!$B$5:$F$5)+'DCF Valuation'!$F$4*(1+F$4)/($A8-F$4)/(1+$A8)^5-Assumptions!$B$31)/Assumptions!$B$30</f>
        <v>105.359258347338</v>
      </c>
    </row>
    <row r="9" customFormat="false" ht="15" hidden="false" customHeight="true" outlineLevel="0" collapsed="false">
      <c r="A9" s="36" t="n">
        <f aca="false">Assumptions!$B$23+(4-3)*0.005</f>
        <v>0.06825</v>
      </c>
      <c r="B9" s="37" t="n">
        <f aca="false">(SUMPRODUCT('DCF Valuation'!$B$4:$F$4/(1+$A9)^'DCF Valuation'!$B$5:$F$5)+'DCF Valuation'!$F$4*(1+B$4)/($A9-B$4)/(1+$A9)^5-Assumptions!$B$31)/Assumptions!$B$30</f>
        <v>57.9118076110863</v>
      </c>
      <c r="C9" s="37" t="n">
        <f aca="false">(SUMPRODUCT('DCF Valuation'!$B$4:$F$4/(1+$A9)^'DCF Valuation'!$B$5:$F$5)+'DCF Valuation'!$F$4*(1+C$4)/($A9-C$4)/(1+$A9)^5-Assumptions!$B$31)/Assumptions!$B$30</f>
        <v>63.2386835483664</v>
      </c>
      <c r="D9" s="37" t="n">
        <f aca="false">(SUMPRODUCT('DCF Valuation'!$B$4:$F$4/(1+$A9)^'DCF Valuation'!$B$5:$F$5)+'DCF Valuation'!$F$4*(1+D$4)/($A9-D$4)/(1+$A9)^5-Assumptions!$B$31)/Assumptions!$B$30</f>
        <v>69.7972071012027</v>
      </c>
      <c r="E9" s="37" t="n">
        <f aca="false">(SUMPRODUCT('DCF Valuation'!$B$4:$F$4/(1+$A9)^'DCF Valuation'!$B$5:$F$5)+'DCF Valuation'!$F$4*(1+E$4)/($A9-E$4)/(1+$A9)^5-Assumptions!$B$31)/Assumptions!$B$30</f>
        <v>78.070377334519</v>
      </c>
      <c r="F9" s="37" t="n">
        <f aca="false">(SUMPRODUCT('DCF Valuation'!$B$4:$F$4/(1+$A9)^'DCF Valuation'!$B$5:$F$5)+'DCF Valuation'!$F$4*(1+F$4)/($A9-F$4)/(1+$A9)^5-Assumptions!$B$31)/Assumptions!$B$30</f>
        <v>88.831719066577</v>
      </c>
    </row>
    <row r="10" customFormat="false" ht="15" hidden="false" customHeight="true" outlineLevel="0" collapsed="false">
      <c r="A10" s="36" t="n">
        <f aca="false">Assumptions!$B$23+(5-3)*0.005</f>
        <v>0.07325</v>
      </c>
      <c r="B10" s="37" t="n">
        <f aca="false">(SUMPRODUCT('DCF Valuation'!$B$4:$F$4/(1+$A10)^'DCF Valuation'!$B$5:$F$5)+'DCF Valuation'!$F$4*(1+B$4)/($A10-B$4)/(1+$A10)^5-Assumptions!$B$31)/Assumptions!$B$30</f>
        <v>52.510713403064</v>
      </c>
      <c r="C10" s="37" t="n">
        <f aca="false">(SUMPRODUCT('DCF Valuation'!$B$4:$F$4/(1+$A10)^'DCF Valuation'!$B$5:$F$5)+'DCF Valuation'!$F$4*(1+C$4)/($A10-C$4)/(1+$A10)^5-Assumptions!$B$31)/Assumptions!$B$30</f>
        <v>56.8414521694926</v>
      </c>
      <c r="D10" s="37" t="n">
        <f aca="false">(SUMPRODUCT('DCF Valuation'!$B$4:$F$4/(1+$A10)^'DCF Valuation'!$B$5:$F$5)+'DCF Valuation'!$F$4*(1+D$4)/($A10-D$4)/(1+$A10)^5-Assumptions!$B$31)/Assumptions!$B$30</f>
        <v>62.0697533745592</v>
      </c>
      <c r="E10" s="37" t="n">
        <f aca="false">(SUMPRODUCT('DCF Valuation'!$B$4:$F$4/(1+$A10)^'DCF Valuation'!$B$5:$F$5)+'DCF Valuation'!$F$4*(1+E$4)/($A10-E$4)/(1+$A10)^5-Assumptions!$B$31)/Assumptions!$B$30</f>
        <v>68.5069103495834</v>
      </c>
      <c r="F10" s="37" t="n">
        <f aca="false">(SUMPRODUCT('DCF Valuation'!$B$4:$F$4/(1+$A10)^'DCF Valuation'!$B$5:$F$5)+'DCF Valuation'!$F$4*(1+F$4)/($A10-F$4)/(1+$A10)^5-Assumptions!$B$31)/Assumptions!$B$30</f>
        <v>76.6269841808231</v>
      </c>
    </row>
    <row r="11" customFormat="false" ht="15" hidden="false" customHeight="true" outlineLevel="0" collapsed="false">
      <c r="A11" s="36" t="n">
        <f aca="false">Assumptions!$B$23+(6-3)*0.005</f>
        <v>0.07825</v>
      </c>
      <c r="B11" s="37" t="n">
        <f aca="false">(SUMPRODUCT('DCF Valuation'!$B$4:$F$4/(1+$A11)^'DCF Valuation'!$B$5:$F$5)+'DCF Valuation'!$F$4*(1+B$4)/($A11-B$4)/(1+$A11)^5-Assumptions!$B$31)/Assumptions!$B$30</f>
        <v>47.965349598761</v>
      </c>
      <c r="C11" s="37" t="n">
        <f aca="false">(SUMPRODUCT('DCF Valuation'!$B$4:$F$4/(1+$A11)^'DCF Valuation'!$B$5:$F$5)+'DCF Valuation'!$F$4*(1+C$4)/($A11-C$4)/(1+$A11)^5-Assumptions!$B$31)/Assumptions!$B$30</f>
        <v>51.5442267508692</v>
      </c>
      <c r="D11" s="37" t="n">
        <f aca="false">(SUMPRODUCT('DCF Valuation'!$B$4:$F$4/(1+$A11)^'DCF Valuation'!$B$5:$F$5)+'DCF Valuation'!$F$4*(1+D$4)/($A11-D$4)/(1+$A11)^5-Assumptions!$B$31)/Assumptions!$B$30</f>
        <v>55.7951935090071</v>
      </c>
      <c r="E11" s="37" t="n">
        <f aca="false">(SUMPRODUCT('DCF Valuation'!$B$4:$F$4/(1+$A11)^'DCF Valuation'!$B$5:$F$5)+'DCF Valuation'!$F$4*(1+E$4)/($A11-E$4)/(1+$A11)^5-Assumptions!$B$31)/Assumptions!$B$30</f>
        <v>60.9271896470699</v>
      </c>
      <c r="F11" s="37" t="n">
        <f aca="false">(SUMPRODUCT('DCF Valuation'!$B$4:$F$4/(1+$A11)^'DCF Valuation'!$B$5:$F$5)+'DCF Valuation'!$F$4*(1+F$4)/($A11-F$4)/(1+$A11)^5-Assumptions!$B$31)/Assumptions!$B$30</f>
        <v>67.2457744875751</v>
      </c>
    </row>
    <row r="13" customFormat="false" ht="30" hidden="false" customHeight="true" outlineLevel="0" collapsed="false">
      <c r="A13" s="38" t="s">
        <v>107</v>
      </c>
      <c r="B13" s="38"/>
      <c r="C13" s="38"/>
      <c r="D13" s="38"/>
      <c r="E13" s="38"/>
      <c r="F13" s="38"/>
      <c r="G13" s="38"/>
      <c r="H13" s="38"/>
    </row>
  </sheetData>
  <mergeCells count="3">
    <mergeCell ref="A1:H1"/>
    <mergeCell ref="A3:H3"/>
    <mergeCell ref="A13:H13"/>
  </mergeCells>
  <conditionalFormatting sqref="B5:F11">
    <cfRule type="cellIs" priority="2" operator="greaterThan" aboveAverage="0" equalAverage="0" bottom="0" percent="0" rank="0" text="" dxfId="0">
      <formula>Assumptions!$B$32</formula>
    </cfRule>
    <cfRule type="cellIs" priority="3" operator="lessThanOrEqual" aboveAverage="0" equalAverage="0" bottom="0" percent="0" rank="0" text="" dxfId="1">
      <formula>Assumptions!$B$32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2026-05-21T14:15:48Z</dcterms:created>
  <dc:creator>openpyxl</dc:creator>
  <dc:description/>
  <dc:language>en-US</dc:language>
  <cp:lastModifiedBy/>
  <dcterms:modified xsi:type="dcterms:W3CDTF">2026-10-08T15:10:40Z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